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liente\Downloads\"/>
    </mc:Choice>
  </mc:AlternateContent>
  <xr:revisionPtr revIDLastSave="0" documentId="13_ncr:1_{86E2E8E0-64ED-4C18-8F57-51E5CF5A3D0F}" xr6:coauthVersionLast="47" xr6:coauthVersionMax="47" xr10:uidLastSave="{00000000-0000-0000-0000-000000000000}"/>
  <bookViews>
    <workbookView xWindow="6135" yWindow="2325" windowWidth="18000" windowHeight="9360" tabRatio="500" xr2:uid="{00000000-000D-0000-FFFF-FFFF00000000}"/>
  </bookViews>
  <sheets>
    <sheet name="Parâmetros" sheetId="1" r:id="rId1"/>
    <sheet name="Modelo ajustado" sheetId="2" r:id="rId2"/>
    <sheet name="Derivadas" sheetId="3" r:id="rId3"/>
    <sheet name="Otimização" sheetId="4" r:id="rId4"/>
    <sheet name="Sensibilidad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5" l="1"/>
  <c r="C10" i="5"/>
  <c r="C9" i="5"/>
  <c r="C8" i="5"/>
  <c r="C7" i="5"/>
  <c r="C6" i="5"/>
  <c r="C5" i="5"/>
  <c r="C12" i="4"/>
  <c r="C10" i="4"/>
  <c r="C9" i="4"/>
  <c r="C7" i="4"/>
  <c r="C13" i="4" s="1"/>
  <c r="C6" i="4"/>
  <c r="C5" i="4"/>
  <c r="C16" i="3"/>
  <c r="C8" i="3"/>
  <c r="C19" i="3" s="1"/>
  <c r="D19" i="3" s="1"/>
  <c r="E19" i="3" s="1"/>
  <c r="C6" i="3"/>
  <c r="C5" i="3"/>
  <c r="C9" i="3" s="1"/>
  <c r="C24" i="2"/>
  <c r="C17" i="2"/>
  <c r="C11" i="4" s="1"/>
  <c r="C16" i="2"/>
  <c r="C13" i="2"/>
  <c r="C25" i="2" s="1"/>
  <c r="C26" i="2" s="1"/>
  <c r="C10" i="2"/>
  <c r="C9" i="2"/>
  <c r="C8" i="2"/>
  <c r="C6" i="2"/>
  <c r="C5" i="2"/>
  <c r="C7" i="2" s="1"/>
  <c r="D16" i="3" l="1"/>
  <c r="E16" i="3" s="1"/>
  <c r="C11" i="2"/>
  <c r="C61" i="4"/>
  <c r="C28" i="4"/>
  <c r="C44" i="4"/>
  <c r="C64" i="4"/>
  <c r="C18" i="3"/>
  <c r="D18" i="3" s="1"/>
  <c r="E18" i="3" s="1"/>
  <c r="C26" i="4"/>
  <c r="C30" i="4"/>
  <c r="C34" i="4"/>
  <c r="C38" i="4"/>
  <c r="C42" i="4"/>
  <c r="C46" i="4"/>
  <c r="C50" i="4"/>
  <c r="C54" i="4"/>
  <c r="C58" i="4"/>
  <c r="C62" i="4"/>
  <c r="C17" i="3"/>
  <c r="D17" i="3" s="1"/>
  <c r="E17" i="3" s="1"/>
  <c r="C27" i="4"/>
  <c r="C43" i="4"/>
  <c r="C40" i="4"/>
  <c r="C45" i="4"/>
  <c r="C31" i="4"/>
  <c r="C39" i="4"/>
  <c r="C59" i="4"/>
  <c r="C24" i="4"/>
  <c r="C36" i="4"/>
  <c r="C52" i="4"/>
  <c r="C60" i="4"/>
  <c r="C29" i="4"/>
  <c r="C37" i="4"/>
  <c r="C53" i="4"/>
  <c r="C57" i="4"/>
  <c r="C15" i="3"/>
  <c r="D15" i="3" s="1"/>
  <c r="E15" i="3" s="1"/>
  <c r="C22" i="3" s="1"/>
  <c r="C35" i="4"/>
  <c r="C47" i="4"/>
  <c r="C51" i="4"/>
  <c r="C55" i="4"/>
  <c r="C63" i="4"/>
  <c r="C32" i="4"/>
  <c r="C48" i="4"/>
  <c r="C56" i="4"/>
  <c r="C25" i="4"/>
  <c r="C33" i="4"/>
  <c r="C41" i="4"/>
  <c r="C49" i="4"/>
  <c r="C7" i="3" l="1"/>
  <c r="C27" i="2"/>
  <c r="C12" i="2"/>
  <c r="C14" i="2" s="1"/>
  <c r="G8" i="5" l="1"/>
  <c r="G5" i="5"/>
  <c r="C8" i="4"/>
  <c r="G9" i="5"/>
  <c r="B16" i="5"/>
  <c r="C10" i="3"/>
  <c r="C11" i="3" s="1"/>
  <c r="G6" i="5"/>
  <c r="C15" i="2"/>
  <c r="C18" i="2" s="1"/>
  <c r="B14" i="5"/>
  <c r="G7" i="5"/>
  <c r="G10" i="5"/>
  <c r="B15" i="5"/>
  <c r="G11" i="5"/>
  <c r="D6" i="5"/>
  <c r="E6" i="5" s="1"/>
  <c r="F6" i="5" s="1"/>
  <c r="H6" i="5" s="1"/>
  <c r="D11" i="5"/>
  <c r="E11" i="5" s="1"/>
  <c r="F11" i="5" s="1"/>
  <c r="H11" i="5" s="1"/>
  <c r="D9" i="5"/>
  <c r="E9" i="5" s="1"/>
  <c r="F9" i="5" s="1"/>
  <c r="H9" i="5" s="1"/>
  <c r="D7" i="5"/>
  <c r="E7" i="5" s="1"/>
  <c r="F7" i="5" s="1"/>
  <c r="H7" i="5" s="1"/>
  <c r="D5" i="5"/>
  <c r="E5" i="5" s="1"/>
  <c r="F5" i="5" s="1"/>
  <c r="H5" i="5" s="1"/>
  <c r="D8" i="5"/>
  <c r="E8" i="5" s="1"/>
  <c r="F8" i="5" s="1"/>
  <c r="H8" i="5" s="1"/>
  <c r="D10" i="5"/>
  <c r="E10" i="5" s="1"/>
  <c r="F10" i="5" s="1"/>
  <c r="H10" i="5" s="1"/>
  <c r="C21" i="2" l="1"/>
  <c r="C19" i="2"/>
  <c r="C20" i="2" s="1"/>
  <c r="D14" i="5"/>
  <c r="E14" i="5" s="1"/>
  <c r="D16" i="5"/>
  <c r="E16" i="5" s="1"/>
  <c r="E63" i="4"/>
  <c r="E51" i="4"/>
  <c r="E39" i="4"/>
  <c r="E31" i="4"/>
  <c r="C20" i="4"/>
  <c r="E58" i="4"/>
  <c r="E38" i="4"/>
  <c r="D42" i="4"/>
  <c r="E55" i="4"/>
  <c r="E43" i="4"/>
  <c r="E27" i="4"/>
  <c r="E62" i="4"/>
  <c r="E46" i="4"/>
  <c r="E34" i="4"/>
  <c r="D58" i="4"/>
  <c r="D46" i="4"/>
  <c r="D26" i="4"/>
  <c r="E47" i="4"/>
  <c r="E54" i="4"/>
  <c r="E42" i="4"/>
  <c r="E26" i="4"/>
  <c r="D62" i="4"/>
  <c r="D34" i="4"/>
  <c r="E50" i="4"/>
  <c r="E30" i="4"/>
  <c r="D50" i="4"/>
  <c r="D38" i="4"/>
  <c r="C16" i="4"/>
  <c r="C18" i="4" s="1"/>
  <c r="E59" i="4"/>
  <c r="E35" i="4"/>
  <c r="C17" i="4"/>
  <c r="D54" i="4"/>
  <c r="D30" i="4"/>
  <c r="E61" i="4"/>
  <c r="C19" i="4"/>
  <c r="D25" i="4"/>
  <c r="E64" i="4"/>
  <c r="E53" i="4"/>
  <c r="E57" i="4"/>
  <c r="E56" i="4"/>
  <c r="D45" i="4"/>
  <c r="D55" i="4"/>
  <c r="D57" i="4"/>
  <c r="E24" i="4"/>
  <c r="E45" i="4"/>
  <c r="E60" i="4"/>
  <c r="D27" i="4"/>
  <c r="D29" i="4"/>
  <c r="D40" i="4"/>
  <c r="D37" i="4"/>
  <c r="D43" i="4"/>
  <c r="E25" i="4"/>
  <c r="E52" i="4"/>
  <c r="E29" i="4"/>
  <c r="D52" i="4"/>
  <c r="D48" i="4"/>
  <c r="C14" i="4"/>
  <c r="C15" i="4" s="1"/>
  <c r="D31" i="4"/>
  <c r="D44" i="4"/>
  <c r="D28" i="4"/>
  <c r="D33" i="4"/>
  <c r="D49" i="4"/>
  <c r="D56" i="4"/>
  <c r="D63" i="4"/>
  <c r="D35" i="4"/>
  <c r="E28" i="4"/>
  <c r="D53" i="4"/>
  <c r="E33" i="4"/>
  <c r="E36" i="4"/>
  <c r="E48" i="4"/>
  <c r="D39" i="4"/>
  <c r="E44" i="4"/>
  <c r="D60" i="4"/>
  <c r="D41" i="4"/>
  <c r="E32" i="4"/>
  <c r="D51" i="4"/>
  <c r="D36" i="4"/>
  <c r="D64" i="4"/>
  <c r="D61" i="4"/>
  <c r="E40" i="4"/>
  <c r="D32" i="4"/>
  <c r="D47" i="4"/>
  <c r="D24" i="4"/>
  <c r="D59" i="4"/>
  <c r="E37" i="4"/>
  <c r="E41" i="4"/>
  <c r="E49" i="4"/>
  <c r="D15" i="5"/>
  <c r="E15" i="5" s="1"/>
</calcChain>
</file>

<file path=xl/sharedStrings.xml><?xml version="1.0" encoding="utf-8"?>
<sst xmlns="http://schemas.openxmlformats.org/spreadsheetml/2006/main" count="288" uniqueCount="215">
  <si>
    <t>E2.7 — PARÂMETROS DO MODELO</t>
  </si>
  <si>
    <t>Equipe D — Ciclo 2. Texto azul sobre fundo amarelo = valor digitado (edite aqui). Todas as demais abas são fórmulas.</t>
  </si>
  <si>
    <t>Parâmetro</t>
  </si>
  <si>
    <t>Valor</t>
  </si>
  <si>
    <t>Unidade</t>
  </si>
  <si>
    <t>Fonte</t>
  </si>
  <si>
    <t>Situação</t>
  </si>
  <si>
    <t>Registros de frequência por mês</t>
  </si>
  <si>
    <t>registros</t>
  </si>
  <si>
    <t>E1.7, aba 1, célula C9 (2.239 registros válidos em 11 meses)</t>
  </si>
  <si>
    <t>Tempo para registrar uma chamada em papel</t>
  </si>
  <si>
    <t>min</t>
  </si>
  <si>
    <t>E1.7, aba 1, C10 (indicado como cronometrado na sessão)</t>
  </si>
  <si>
    <t>Tempo para transcrever a chamada para a planilha</t>
  </si>
  <si>
    <t>E1.7, aba 1, C11</t>
  </si>
  <si>
    <t>Consultas a histórico por mês</t>
  </si>
  <si>
    <t>consultas</t>
  </si>
  <si>
    <t>E1.7, aba 1, C13 (estimativa da coordenação)</t>
  </si>
  <si>
    <t>Estimativa</t>
  </si>
  <si>
    <t>Tempo para localizar um histórico</t>
  </si>
  <si>
    <t>E1.7, aba 1, C12</t>
  </si>
  <si>
    <t>Horas semanais de consolidação (transferir registros para a planilha)</t>
  </si>
  <si>
    <t>h/semana</t>
  </si>
  <si>
    <t>E1.2 (objetivo de reduzir de 12 h para até 3 h) e E1.7, aba 1, nota da C14</t>
  </si>
  <si>
    <t>Documentado</t>
  </si>
  <si>
    <t>Semanas por mês</t>
  </si>
  <si>
    <t>semanas</t>
  </si>
  <si>
    <t>E1.7, aba 1, nota da C14 (12 h x 4 semanas)</t>
  </si>
  <si>
    <t>Convenção do E1.7</t>
  </si>
  <si>
    <t>Dias de soma de presença por trimestre</t>
  </si>
  <si>
    <t>dias</t>
  </si>
  <si>
    <t>Dossiê §3 (Marlene: "três dias por trimestre somando presença")</t>
  </si>
  <si>
    <t>Horas de trabalho por dia nessa tarefa</t>
  </si>
  <si>
    <t>h/dia</t>
  </si>
  <si>
    <t>E1.7, aba 1, nota da C14</t>
  </si>
  <si>
    <t>Meses por trimestre</t>
  </si>
  <si>
    <t>meses</t>
  </si>
  <si>
    <t>Calendário</t>
  </si>
  <si>
    <t>Fato</t>
  </si>
  <si>
    <t>Custo-hora médio da equipe do Instituto</t>
  </si>
  <si>
    <t>R$/h</t>
  </si>
  <si>
    <t>E1.7, aba 3, C4 (estimativa a partir do salário informado pela coordenação)</t>
  </si>
  <si>
    <t>A confirmar: não há o salário em nenhum documento</t>
  </si>
  <si>
    <t>Retrabalho por informação perdida ou duplicada</t>
  </si>
  <si>
    <t>R$/mês</t>
  </si>
  <si>
    <t>E1.7, aba 3, C9</t>
  </si>
  <si>
    <t>Perdas em prestação de contas e captação</t>
  </si>
  <si>
    <t>E1.7, aba 3, C10</t>
  </si>
  <si>
    <t>Materiais e impressão de fichas</t>
  </si>
  <si>
    <t>E1.7, aba 3, C11 (informado pela organização)</t>
  </si>
  <si>
    <t>Informado</t>
  </si>
  <si>
    <t>Participantes ativos hoje</t>
  </si>
  <si>
    <t>pessoas</t>
  </si>
  <si>
    <t>Dossiê §2 e E1.7, aba 1, C6</t>
  </si>
  <si>
    <t>Novos participantes por mês (cenário linear)</t>
  </si>
  <si>
    <t>pessoas/mês</t>
  </si>
  <si>
    <t>E1.7, aba 2, C5 (55 a 60 entradas por ano)</t>
  </si>
  <si>
    <t>Escolha da equipe</t>
  </si>
  <si>
    <t>Parcela do problema que a solução elimina (plano atual)</t>
  </si>
  <si>
    <t>fração</t>
  </si>
  <si>
    <t>E1.7, aba 3, C14</t>
  </si>
  <si>
    <t>Estimativa conservadora da equipe</t>
  </si>
  <si>
    <t>Horas de desenvolvimento previstas</t>
  </si>
  <si>
    <t>h</t>
  </si>
  <si>
    <t>E1.7, aba 4, C5</t>
  </si>
  <si>
    <t>Plano da equipe</t>
  </si>
  <si>
    <t>Horas de levantamento e modelagem</t>
  </si>
  <si>
    <t>E1.7, aba 4, C6</t>
  </si>
  <si>
    <t>Horas de treinamento da equipe do Instituto</t>
  </si>
  <si>
    <t>E1.7, aba 4, C7</t>
  </si>
  <si>
    <t>Custo da hora de desenvolvimento</t>
  </si>
  <si>
    <t>E1.7, aba 4, D5 a D7</t>
  </si>
  <si>
    <t>Equipamento e instalação</t>
  </si>
  <si>
    <t>R$</t>
  </si>
  <si>
    <t>E1.7, aba 4, D8</t>
  </si>
  <si>
    <t>Hospedagem e serviços</t>
  </si>
  <si>
    <t>E1.7, aba 4, D12</t>
  </si>
  <si>
    <t>Horas de manutenção e suporte por mês</t>
  </si>
  <si>
    <t>h/mês</t>
  </si>
  <si>
    <t>E1.7, aba 4, C13</t>
  </si>
  <si>
    <t>Energia e conectividade adicional</t>
  </si>
  <si>
    <t>E1.7, aba 4, D14</t>
  </si>
  <si>
    <t>Horizonte de análise</t>
  </si>
  <si>
    <t>E1.7, aba 5 (fluxo de caixa de 24 meses)</t>
  </si>
  <si>
    <t>Eficácia máxima da solução (limite de p quando h cresce)</t>
  </si>
  <si>
    <t>Premissa desta análise. Fica acima dos 75% de redução que a coordenação deseja na consolidação (E1.2: de 12 h para até 3 h)</t>
  </si>
  <si>
    <t>E2.7 — MODELO DE CUSTO AJUSTADO AOS DADOS</t>
  </si>
  <si>
    <t>Ajuste: as 48 h mensais de consolidação do E1.7 passam a ser separadas em transcrição (variável) e demais tarefas (fixas), o que elimina a dupla contagem.</t>
  </si>
  <si>
    <t>Componente</t>
  </si>
  <si>
    <t>Como é calculado</t>
  </si>
  <si>
    <t>Consolidação mensal informada (12 h/semana x 4 semanas)</t>
  </si>
  <si>
    <t>12 h por semana x 4 semanas</t>
  </si>
  <si>
    <t xml:space="preserve">  Transcrição (variável com os registros)</t>
  </si>
  <si>
    <t>registros/mês x minutos de transcrição / 60</t>
  </si>
  <si>
    <t xml:space="preserve">  Outras tarefas de consolidação (fixas)</t>
  </si>
  <si>
    <t>consolidação informada menos a transcrição</t>
  </si>
  <si>
    <t>Registro das chamadas em papel</t>
  </si>
  <si>
    <t>registros/mês x minutos por chamada / 60</t>
  </si>
  <si>
    <t>Busca de histórico</t>
  </si>
  <si>
    <t>consultas/mês x minutos por busca / 60</t>
  </si>
  <si>
    <t>Prestação de contas trimestral, por mês</t>
  </si>
  <si>
    <t>3 dias x 8 h / 3 meses</t>
  </si>
  <si>
    <t>TOTAL DE HORAS POR MÊS (modelo ajustado)</t>
  </si>
  <si>
    <t>transcrição + outras + papel + busca + prestação</t>
  </si>
  <si>
    <t>Custo do tempo operacional</t>
  </si>
  <si>
    <t>horas x custo-hora</t>
  </si>
  <si>
    <t>Retrabalho, perdas e materiais</t>
  </si>
  <si>
    <t>soma dos três componentes do E1.7</t>
  </si>
  <si>
    <t>CUSTO TOTAL DO PROBLEMA POR MÊS</t>
  </si>
  <si>
    <t>tempo operacional + demais custos</t>
  </si>
  <si>
    <t>Benefício mensal esperado</t>
  </si>
  <si>
    <t>custo do problema x parcela eliminada</t>
  </si>
  <si>
    <t>Investimento total</t>
  </si>
  <si>
    <t>horas x custo-hora + equipamento</t>
  </si>
  <si>
    <t>Custo recorrente mensal</t>
  </si>
  <si>
    <t>hospedagem + manutenção + energia</t>
  </si>
  <si>
    <t>Resultado líquido mensal</t>
  </si>
  <si>
    <t>benefício menos custo recorrente</t>
  </si>
  <si>
    <t>Prazo de retorno (payback simples)</t>
  </si>
  <si>
    <t>investimento / resultado líquido mensal</t>
  </si>
  <si>
    <t>Mês em que o fluxo acumulado fica positivo</t>
  </si>
  <si>
    <t>mês</t>
  </si>
  <si>
    <t>payback arredondado para cima</t>
  </si>
  <si>
    <t>Resultado acumulado no horizonte</t>
  </si>
  <si>
    <t>meses x líquido menos investimento</t>
  </si>
  <si>
    <t>COMPARAÇÃO COM O E1.7 ORIGINAL</t>
  </si>
  <si>
    <t>Horas por mês no E1.7 (soma os 56 h de prestação à transcrição)</t>
  </si>
  <si>
    <t>Custo total do problema no E1.7</t>
  </si>
  <si>
    <t>Payback no E1.7</t>
  </si>
  <si>
    <t>Horas a menos no modelo ajustado</t>
  </si>
  <si>
    <t>Leitura: o E1.7 soma 30,6 h de transcrição e mais 56 h de "prestação de contas", mas essas 56 h já incluíam as 48 h de transferência de registros relatadas pela coordenação. O ajuste mantém os dois dados observados e conta cada hora uma vez só.</t>
  </si>
  <si>
    <t>E2.7 — DERIVADAS APLICADAS AO MODELO DE CUSTO</t>
  </si>
  <si>
    <t>Modelo: C(R, Q) = w·[ (tp+tt)/60 · R + tb/60 · Q + K ] + O, em que K reúne as horas fixas e O os demais custos.</t>
  </si>
  <si>
    <t>Derivada</t>
  </si>
  <si>
    <t>Significado</t>
  </si>
  <si>
    <t>∂C/∂R = w·(tp+tt)/60</t>
  </si>
  <si>
    <t>R$ por registro</t>
  </si>
  <si>
    <t>Cada registro de frequência a mais custa isto por mês em tempo de registro e transcrição.</t>
  </si>
  <si>
    <t>∂C/∂Q = w·tb/60</t>
  </si>
  <si>
    <t>R$ por consulta</t>
  </si>
  <si>
    <t>Cada busca de histórico a mais custa isto por mês.</t>
  </si>
  <si>
    <t>∂C/∂w = H</t>
  </si>
  <si>
    <t>horas</t>
  </si>
  <si>
    <t>Cada R$ 1 a mais no custo-hora aumenta o custo mensal em R$ H.</t>
  </si>
  <si>
    <t>dR/dt = R·ΔP/P0</t>
  </si>
  <si>
    <t>registros/mês por mês</t>
  </si>
  <si>
    <t>Crescimento mensal dos registros no cenário linear (+5 participantes por mês).</t>
  </si>
  <si>
    <t>dC/dt = (∂C/∂R)·(dR/dt)</t>
  </si>
  <si>
    <t>R$/mês por mês</t>
  </si>
  <si>
    <t>Quanto o custo mensal do problema aumenta a cada mês que passa.</t>
  </si>
  <si>
    <t>∂B/∂p = C0</t>
  </si>
  <si>
    <t>Benefício mensal por unidade de p (divida por 100 para um ponto percentual).</t>
  </si>
  <si>
    <t>Valor de 1 ponto percentual de eliminação</t>
  </si>
  <si>
    <t>Cada 1% do problema eliminado vale isto por mês.</t>
  </si>
  <si>
    <t>CUSTO DO PROBLEMA AO LONGO DO TEMPO (sem a solução)</t>
  </si>
  <si>
    <t>Mês t</t>
  </si>
  <si>
    <t>Registros R(t)</t>
  </si>
  <si>
    <t>Horas H(t)</t>
  </si>
  <si>
    <t>Custo C(t) em R$</t>
  </si>
  <si>
    <t>Conferência: a diferença entre C(24) e C(0), dividida por 24, é igual a dC/dt (o modelo é linear em t).</t>
  </si>
  <si>
    <t>Diferença de custo entre mês 24 e mês 0, dividida por 24:</t>
  </si>
  <si>
    <t>E2.7 — OTIMIZAÇÃO: QUANTAS HORAS DE DESENVOLVIMENTO MAXIMIZAM O RESULTADO EM 24 MESES</t>
  </si>
  <si>
    <t>p(h) = pmax·(1 − e^(−h/τ)). NB(h) = T·(B·p(h) − R) − [c·(h + hl + ht) + eq]. Máximo em NB'(h) = 0.</t>
  </si>
  <si>
    <t>Grandeza</t>
  </si>
  <si>
    <t>Origem</t>
  </si>
  <si>
    <t>Eficácia máxima pmax</t>
  </si>
  <si>
    <t>Parâmetros (premissa)</t>
  </si>
  <si>
    <t>Eficácia no plano atual p(h0)</t>
  </si>
  <si>
    <t>E1.7, 60%</t>
  </si>
  <si>
    <t>Horas do plano atual h0</t>
  </si>
  <si>
    <t>E1.7, 320 h</t>
  </si>
  <si>
    <t>Custo mensal do problema B</t>
  </si>
  <si>
    <t>Modelo ajustado (constante, sem crescimento: conservador)</t>
  </si>
  <si>
    <t>Horizonte T</t>
  </si>
  <si>
    <t>Parâmetros</t>
  </si>
  <si>
    <t>Custo da hora c</t>
  </si>
  <si>
    <t>Custo recorrente R</t>
  </si>
  <si>
    <t>Modelo ajustado</t>
  </si>
  <si>
    <t>Custos fixos: c·(hl+ht) + equipamento</t>
  </si>
  <si>
    <t>Constante τ, calibrada para p(h0) = p0</t>
  </si>
  <si>
    <t>τ = −h0 / ln(1 − p0/pmax)</t>
  </si>
  <si>
    <t>HORAS ÓTIMAS h*</t>
  </si>
  <si>
    <t>h* = τ·ln( T·B·pmax / (c·τ) ), de NB'(h) = 0</t>
  </si>
  <si>
    <t>Eficácia em h*</t>
  </si>
  <si>
    <t>p(h*)</t>
  </si>
  <si>
    <t>Resultado em h* (NB)</t>
  </si>
  <si>
    <t>NB(h*)</t>
  </si>
  <si>
    <t>Resultado no plano atual, h0 (NB)</t>
  </si>
  <si>
    <t>NB(h0)</t>
  </si>
  <si>
    <t>Ganho de usar h* em vez de h0</t>
  </si>
  <si>
    <t>NB(h*) − NB(h0)</t>
  </si>
  <si>
    <t>Segunda derivada em h*</t>
  </si>
  <si>
    <t>R$/h²</t>
  </si>
  <si>
    <t>NB''(h*) &lt; 0, portanto h* é um máximo</t>
  </si>
  <si>
    <t>Conferência: NB'(h*)</t>
  </si>
  <si>
    <t>deve ser zero</t>
  </si>
  <si>
    <t>CURVA DO RESULTADO</t>
  </si>
  <si>
    <t>Horas h</t>
  </si>
  <si>
    <t>p(h)</t>
  </si>
  <si>
    <t>NB(h) em R$</t>
  </si>
  <si>
    <t>NB'(h) em R$/h</t>
  </si>
  <si>
    <t>E2.7 — SENSIBILIDADE DA SOLUÇÃO ÓTIMA</t>
  </si>
  <si>
    <t>A premissa mais frágil é pmax. A tabela mostra o quanto h* e o resultado mudam quando ela muda.</t>
  </si>
  <si>
    <t>pmax</t>
  </si>
  <si>
    <t>τ (h)</t>
  </si>
  <si>
    <t>h* (h)</t>
  </si>
  <si>
    <t>NB(h*) em R$</t>
  </si>
  <si>
    <t>NB(320 h) em R$</t>
  </si>
  <si>
    <t>Ganho em R$</t>
  </si>
  <si>
    <t>Custo do problema B</t>
  </si>
  <si>
    <t>Variação de B</t>
  </si>
  <si>
    <t>Declarado pela equipe no E1.7</t>
  </si>
  <si>
    <t>Cronometrado na sessão</t>
  </si>
  <si>
    <t>Estimativa do E1.7</t>
  </si>
  <si>
    <t>PREMISSA a confirmar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</si>
</sst>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00"/>
    <numFmt numFmtId="166" formatCode="0.0%"/>
    <numFmt numFmtId="167" formatCode="0.0000"/>
    <numFmt numFmtId="168" formatCode="0.000000"/>
  </numFmts>
  <fonts count="7" x14ac:knownFonts="1">
    <font>
      <sz val="11"/>
      <color theme="1"/>
      <name val="Calibri"/>
      <family val="2"/>
      <charset val="1"/>
    </font>
    <font>
      <b/>
      <sz val="14"/>
      <color rgb="FF17365D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" fontId="5" fillId="3" borderId="1" xfId="0" applyNumberFormat="1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164" fontId="5" fillId="3" borderId="1" xfId="0" applyNumberFormat="1" applyFont="1" applyFill="1" applyBorder="1" applyAlignment="1">
      <alignment vertical="top"/>
    </xf>
    <xf numFmtId="4" fontId="5" fillId="3" borderId="1" xfId="0" applyNumberFormat="1" applyFont="1" applyFill="1" applyBorder="1" applyAlignment="1">
      <alignment vertical="top"/>
    </xf>
    <xf numFmtId="9" fontId="5" fillId="3" borderId="1" xfId="0" applyNumberFormat="1" applyFont="1" applyFill="1" applyBorder="1" applyAlignment="1">
      <alignment vertical="top"/>
    </xf>
    <xf numFmtId="164" fontId="4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2" fontId="6" fillId="0" borderId="1" xfId="0" applyNumberFormat="1" applyFont="1" applyBorder="1" applyAlignment="1">
      <alignment vertical="top"/>
    </xf>
    <xf numFmtId="4" fontId="4" fillId="0" borderId="1" xfId="0" applyNumberFormat="1" applyFont="1" applyBorder="1" applyAlignment="1">
      <alignment vertical="top"/>
    </xf>
    <xf numFmtId="4" fontId="6" fillId="0" borderId="1" xfId="0" applyNumberFormat="1" applyFont="1" applyBorder="1" applyAlignment="1">
      <alignment vertical="top"/>
    </xf>
    <xf numFmtId="164" fontId="6" fillId="0" borderId="1" xfId="0" applyNumberFormat="1" applyFont="1" applyBorder="1" applyAlignment="1">
      <alignment vertical="top"/>
    </xf>
    <xf numFmtId="1" fontId="4" fillId="0" borderId="1" xfId="0" applyNumberFormat="1" applyFont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2" fontId="4" fillId="0" borderId="1" xfId="0" applyNumberFormat="1" applyFont="1" applyBorder="1" applyAlignment="1">
      <alignment vertical="top"/>
    </xf>
    <xf numFmtId="165" fontId="4" fillId="0" borderId="1" xfId="0" applyNumberFormat="1" applyFont="1" applyBorder="1" applyAlignment="1">
      <alignment vertical="top"/>
    </xf>
    <xf numFmtId="1" fontId="4" fillId="0" borderId="1" xfId="0" applyNumberFormat="1" applyFont="1" applyBorder="1" applyAlignment="1">
      <alignment horizontal="center" vertical="top"/>
    </xf>
    <xf numFmtId="9" fontId="4" fillId="0" borderId="1" xfId="0" applyNumberFormat="1" applyFont="1" applyBorder="1" applyAlignment="1">
      <alignment vertical="top"/>
    </xf>
    <xf numFmtId="166" fontId="4" fillId="0" borderId="1" xfId="0" applyNumberFormat="1" applyFont="1" applyBorder="1" applyAlignment="1">
      <alignment vertical="top"/>
    </xf>
    <xf numFmtId="167" fontId="4" fillId="0" borderId="1" xfId="0" applyNumberFormat="1" applyFont="1" applyBorder="1" applyAlignment="1">
      <alignment vertical="top"/>
    </xf>
    <xf numFmtId="168" fontId="4" fillId="0" borderId="1" xfId="0" applyNumberFormat="1" applyFont="1" applyBorder="1" applyAlignment="1">
      <alignment vertical="top"/>
    </xf>
    <xf numFmtId="9" fontId="5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Resultado em 24 meses conforme as horas de desenvolvimento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Otimização!$D$23</c:f>
              <c:strCache>
                <c:ptCount val="1"/>
                <c:pt idx="0">
                  <c:v>NB(h) em R$</c:v>
                </c:pt>
              </c:strCache>
            </c:strRef>
          </c:tx>
          <c:spPr>
            <a:ln w="28440">
              <a:solidFill>
                <a:srgbClr val="17365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Otimização!$B$24:$B$64</c:f>
              <c:numCache>
                <c:formatCode>0</c:formatCode>
                <c:ptCount val="4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</c:numCache>
            </c:numRef>
          </c:xVal>
          <c:yVal>
            <c:numRef>
              <c:f>Otimização!$D$24:$D$64</c:f>
              <c:numCache>
                <c:formatCode>#,##0.00</c:formatCode>
                <c:ptCount val="41"/>
                <c:pt idx="0">
                  <c:v>-14100</c:v>
                </c:pt>
                <c:pt idx="1">
                  <c:v>-11128.563959648549</c:v>
                </c:pt>
                <c:pt idx="2">
                  <c:v>-8478.4414576379913</c:v>
                </c:pt>
                <c:pt idx="3">
                  <c:v>-6122.9647694224223</c:v>
                </c:pt>
                <c:pt idx="4">
                  <c:v>-4037.6794837701909</c:v>
                </c:pt>
                <c:pt idx="5">
                  <c:v>-2200.160806707685</c:v>
                </c:pt>
                <c:pt idx="6">
                  <c:v>-589.84511149306309</c:v>
                </c:pt>
                <c:pt idx="7">
                  <c:v>812.12453073888901</c:v>
                </c:pt>
                <c:pt idx="8">
                  <c:v>2023.0399999999972</c:v>
                </c:pt>
                <c:pt idx="9">
                  <c:v>3058.7580201757228</c:v>
                </c:pt>
                <c:pt idx="10">
                  <c:v>3933.8192711810043</c:v>
                </c:pt>
                <c:pt idx="11">
                  <c:v>4661.5576152887879</c:v>
                </c:pt>
                <c:pt idx="12">
                  <c:v>5254.2002581148954</c:v>
                </c:pt>
                <c:pt idx="13">
                  <c:v>5722.9595966461602</c:v>
                </c:pt>
                <c:pt idx="14">
                  <c:v>6078.1174442534648</c:v>
                </c:pt>
                <c:pt idx="15">
                  <c:v>6329.1022653694454</c:v>
                </c:pt>
                <c:pt idx="16">
                  <c:v>6484.5600000000013</c:v>
                </c:pt>
                <c:pt idx="17">
                  <c:v>6552.4190100878623</c:v>
                </c:pt>
                <c:pt idx="18">
                  <c:v>6539.9496355905067</c:v>
                </c:pt>
                <c:pt idx="19">
                  <c:v>6453.8188076443985</c:v>
                </c:pt>
                <c:pt idx="20">
                  <c:v>6300.1401290574577</c:v>
                </c:pt>
                <c:pt idx="21">
                  <c:v>6084.5197983230792</c:v>
                </c:pt>
                <c:pt idx="22">
                  <c:v>5812.0987221267351</c:v>
                </c:pt>
                <c:pt idx="23">
                  <c:v>5487.5911326847199</c:v>
                </c:pt>
                <c:pt idx="24">
                  <c:v>5115.32</c:v>
                </c:pt>
                <c:pt idx="25">
                  <c:v>4699.249505043932</c:v>
                </c:pt>
                <c:pt idx="26">
                  <c:v>4243.0148177952578</c:v>
                </c:pt>
                <c:pt idx="27">
                  <c:v>3749.9494038222037</c:v>
                </c:pt>
                <c:pt idx="28">
                  <c:v>3223.1100645287297</c:v>
                </c:pt>
                <c:pt idx="29">
                  <c:v>2665.2998991615386</c:v>
                </c:pt>
                <c:pt idx="30">
                  <c:v>2079.0893610633721</c:v>
                </c:pt>
                <c:pt idx="31">
                  <c:v>1466.8355663423717</c:v>
                </c:pt>
                <c:pt idx="32">
                  <c:v>830.70000000000437</c:v>
                </c:pt>
                <c:pt idx="33">
                  <c:v>172.66475252196688</c:v>
                </c:pt>
                <c:pt idx="34">
                  <c:v>-505.45259110237384</c:v>
                </c:pt>
                <c:pt idx="35">
                  <c:v>-1201.9852980888973</c:v>
                </c:pt>
                <c:pt idx="36">
                  <c:v>-1915.4049677356379</c:v>
                </c:pt>
                <c:pt idx="37">
                  <c:v>-2644.3100504192262</c:v>
                </c:pt>
                <c:pt idx="38">
                  <c:v>-3387.4153194683095</c:v>
                </c:pt>
                <c:pt idx="39">
                  <c:v>-4143.5422168288133</c:v>
                </c:pt>
                <c:pt idx="40">
                  <c:v>-4911.6099999999933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12-403D-9482-29F09C7D2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61593"/>
        <c:axId val="16203694"/>
      </c:scatterChart>
      <c:valAx>
        <c:axId val="8616159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Horas de desenvolvimento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6203694"/>
        <c:crosses val="autoZero"/>
        <c:crossBetween val="midCat"/>
      </c:valAx>
      <c:valAx>
        <c:axId val="162036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Resultado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616159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19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showGridLines="0" tabSelected="1" zoomScaleNormal="100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F30" sqref="F30"/>
    </sheetView>
  </sheetViews>
  <sheetFormatPr defaultColWidth="8.7109375" defaultRowHeight="15" x14ac:dyDescent="0.25"/>
  <cols>
    <col min="1" max="1" width="2" customWidth="1"/>
    <col min="2" max="2" width="52" customWidth="1"/>
    <col min="3" max="4" width="12" customWidth="1"/>
    <col min="5" max="5" width="62" customWidth="1"/>
    <col min="6" max="6" width="38" customWidth="1"/>
  </cols>
  <sheetData>
    <row r="1" spans="1:6" ht="18" x14ac:dyDescent="0.25">
      <c r="A1" s="2" t="s">
        <v>0</v>
      </c>
    </row>
    <row r="2" spans="1:6" x14ac:dyDescent="0.25">
      <c r="A2" s="3" t="s">
        <v>1</v>
      </c>
    </row>
    <row r="4" spans="1:6" x14ac:dyDescent="0.25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5" spans="1:6" x14ac:dyDescent="0.25">
      <c r="B5" s="5" t="s">
        <v>7</v>
      </c>
      <c r="C5" s="6">
        <v>204</v>
      </c>
      <c r="D5" s="7" t="s">
        <v>8</v>
      </c>
      <c r="E5" s="5" t="s">
        <v>9</v>
      </c>
      <c r="F5" s="5" t="s">
        <v>211</v>
      </c>
    </row>
    <row r="6" spans="1:6" x14ac:dyDescent="0.25">
      <c r="B6" s="5" t="s">
        <v>10</v>
      </c>
      <c r="C6" s="8">
        <v>6</v>
      </c>
      <c r="D6" s="7" t="s">
        <v>11</v>
      </c>
      <c r="E6" s="5" t="s">
        <v>12</v>
      </c>
      <c r="F6" s="5" t="s">
        <v>212</v>
      </c>
    </row>
    <row r="7" spans="1:6" x14ac:dyDescent="0.25">
      <c r="B7" s="5" t="s">
        <v>13</v>
      </c>
      <c r="C7" s="8">
        <v>9</v>
      </c>
      <c r="D7" s="7" t="s">
        <v>11</v>
      </c>
      <c r="E7" s="5" t="s">
        <v>14</v>
      </c>
      <c r="F7" s="5" t="s">
        <v>212</v>
      </c>
    </row>
    <row r="8" spans="1:6" x14ac:dyDescent="0.25">
      <c r="B8" s="5" t="s">
        <v>15</v>
      </c>
      <c r="C8" s="6">
        <v>35</v>
      </c>
      <c r="D8" s="7" t="s">
        <v>16</v>
      </c>
      <c r="E8" s="5" t="s">
        <v>17</v>
      </c>
      <c r="F8" s="5" t="s">
        <v>18</v>
      </c>
    </row>
    <row r="9" spans="1:6" x14ac:dyDescent="0.25">
      <c r="B9" s="5" t="s">
        <v>19</v>
      </c>
      <c r="C9" s="8">
        <v>14</v>
      </c>
      <c r="D9" s="7" t="s">
        <v>11</v>
      </c>
      <c r="E9" s="5" t="s">
        <v>20</v>
      </c>
      <c r="F9" s="5" t="s">
        <v>212</v>
      </c>
    </row>
    <row r="10" spans="1:6" ht="25.5" x14ac:dyDescent="0.25">
      <c r="B10" s="5" t="s">
        <v>21</v>
      </c>
      <c r="C10" s="8">
        <v>12</v>
      </c>
      <c r="D10" s="7" t="s">
        <v>22</v>
      </c>
      <c r="E10" s="5" t="s">
        <v>23</v>
      </c>
      <c r="F10" s="5" t="s">
        <v>24</v>
      </c>
    </row>
    <row r="11" spans="1:6" x14ac:dyDescent="0.25">
      <c r="B11" s="5" t="s">
        <v>25</v>
      </c>
      <c r="C11" s="6">
        <v>4</v>
      </c>
      <c r="D11" s="7" t="s">
        <v>26</v>
      </c>
      <c r="E11" s="5" t="s">
        <v>27</v>
      </c>
      <c r="F11" s="5" t="s">
        <v>28</v>
      </c>
    </row>
    <row r="12" spans="1:6" x14ac:dyDescent="0.25">
      <c r="B12" s="5" t="s">
        <v>29</v>
      </c>
      <c r="C12" s="6">
        <v>3</v>
      </c>
      <c r="D12" s="7" t="s">
        <v>30</v>
      </c>
      <c r="E12" s="5" t="s">
        <v>31</v>
      </c>
      <c r="F12" s="5" t="s">
        <v>24</v>
      </c>
    </row>
    <row r="13" spans="1:6" x14ac:dyDescent="0.25">
      <c r="B13" s="5" t="s">
        <v>32</v>
      </c>
      <c r="C13" s="6">
        <v>8</v>
      </c>
      <c r="D13" s="7" t="s">
        <v>33</v>
      </c>
      <c r="E13" s="5" t="s">
        <v>34</v>
      </c>
      <c r="F13" s="5" t="s">
        <v>28</v>
      </c>
    </row>
    <row r="14" spans="1:6" x14ac:dyDescent="0.25">
      <c r="B14" s="5" t="s">
        <v>35</v>
      </c>
      <c r="C14" s="6">
        <v>3</v>
      </c>
      <c r="D14" s="7" t="s">
        <v>36</v>
      </c>
      <c r="E14" s="5" t="s">
        <v>37</v>
      </c>
      <c r="F14" s="5" t="s">
        <v>38</v>
      </c>
    </row>
    <row r="15" spans="1:6" ht="25.5" x14ac:dyDescent="0.25">
      <c r="B15" s="5" t="s">
        <v>39</v>
      </c>
      <c r="C15" s="9">
        <v>18.5</v>
      </c>
      <c r="D15" s="7" t="s">
        <v>40</v>
      </c>
      <c r="E15" s="5" t="s">
        <v>41</v>
      </c>
      <c r="F15" s="5" t="s">
        <v>42</v>
      </c>
    </row>
    <row r="16" spans="1:6" x14ac:dyDescent="0.25">
      <c r="B16" s="5" t="s">
        <v>43</v>
      </c>
      <c r="C16" s="9">
        <v>320</v>
      </c>
      <c r="D16" s="7" t="s">
        <v>44</v>
      </c>
      <c r="E16" s="5" t="s">
        <v>45</v>
      </c>
      <c r="F16" s="5" t="s">
        <v>213</v>
      </c>
    </row>
    <row r="17" spans="2:6" x14ac:dyDescent="0.25">
      <c r="B17" s="5" t="s">
        <v>46</v>
      </c>
      <c r="C17" s="9">
        <v>450</v>
      </c>
      <c r="D17" s="7" t="s">
        <v>44</v>
      </c>
      <c r="E17" s="5" t="s">
        <v>47</v>
      </c>
      <c r="F17" s="5" t="s">
        <v>213</v>
      </c>
    </row>
    <row r="18" spans="2:6" x14ac:dyDescent="0.25">
      <c r="B18" s="5" t="s">
        <v>48</v>
      </c>
      <c r="C18" s="9">
        <v>95</v>
      </c>
      <c r="D18" s="7" t="s">
        <v>44</v>
      </c>
      <c r="E18" s="5" t="s">
        <v>49</v>
      </c>
      <c r="F18" s="5" t="s">
        <v>50</v>
      </c>
    </row>
    <row r="19" spans="2:6" x14ac:dyDescent="0.25">
      <c r="B19" s="5" t="s">
        <v>51</v>
      </c>
      <c r="C19" s="6">
        <v>225</v>
      </c>
      <c r="D19" s="7" t="s">
        <v>52</v>
      </c>
      <c r="E19" s="5" t="s">
        <v>53</v>
      </c>
      <c r="F19" s="5" t="s">
        <v>24</v>
      </c>
    </row>
    <row r="20" spans="2:6" x14ac:dyDescent="0.25">
      <c r="B20" s="5" t="s">
        <v>54</v>
      </c>
      <c r="C20" s="8">
        <v>5</v>
      </c>
      <c r="D20" s="7" t="s">
        <v>55</v>
      </c>
      <c r="E20" s="5" t="s">
        <v>56</v>
      </c>
      <c r="F20" s="5" t="s">
        <v>57</v>
      </c>
    </row>
    <row r="21" spans="2:6" x14ac:dyDescent="0.25">
      <c r="B21" s="5" t="s">
        <v>58</v>
      </c>
      <c r="C21" s="10">
        <v>0.6</v>
      </c>
      <c r="D21" s="7" t="s">
        <v>59</v>
      </c>
      <c r="E21" s="5" t="s">
        <v>60</v>
      </c>
      <c r="F21" s="5" t="s">
        <v>61</v>
      </c>
    </row>
    <row r="22" spans="2:6" x14ac:dyDescent="0.25">
      <c r="B22" s="5" t="s">
        <v>62</v>
      </c>
      <c r="C22" s="6">
        <v>320</v>
      </c>
      <c r="D22" s="7" t="s">
        <v>63</v>
      </c>
      <c r="E22" s="5" t="s">
        <v>64</v>
      </c>
      <c r="F22" s="5" t="s">
        <v>65</v>
      </c>
    </row>
    <row r="23" spans="2:6" x14ac:dyDescent="0.25">
      <c r="B23" s="5" t="s">
        <v>66</v>
      </c>
      <c r="C23" s="6">
        <v>120</v>
      </c>
      <c r="D23" s="7" t="s">
        <v>63</v>
      </c>
      <c r="E23" s="5" t="s">
        <v>67</v>
      </c>
      <c r="F23" s="5" t="s">
        <v>65</v>
      </c>
    </row>
    <row r="24" spans="2:6" x14ac:dyDescent="0.25">
      <c r="B24" s="5" t="s">
        <v>68</v>
      </c>
      <c r="C24" s="6">
        <v>12</v>
      </c>
      <c r="D24" s="7" t="s">
        <v>63</v>
      </c>
      <c r="E24" s="5" t="s">
        <v>69</v>
      </c>
      <c r="F24" s="5" t="s">
        <v>65</v>
      </c>
    </row>
    <row r="25" spans="2:6" ht="25.5" x14ac:dyDescent="0.25">
      <c r="B25" s="5" t="s">
        <v>70</v>
      </c>
      <c r="C25" s="9">
        <v>45</v>
      </c>
      <c r="D25" s="7" t="s">
        <v>40</v>
      </c>
      <c r="E25" s="5" t="s">
        <v>71</v>
      </c>
      <c r="F25" s="5" t="s">
        <v>42</v>
      </c>
    </row>
    <row r="26" spans="2:6" x14ac:dyDescent="0.25">
      <c r="B26" s="5" t="s">
        <v>72</v>
      </c>
      <c r="C26" s="9">
        <v>1800</v>
      </c>
      <c r="D26" s="7" t="s">
        <v>73</v>
      </c>
      <c r="E26" s="5" t="s">
        <v>74</v>
      </c>
      <c r="F26" s="5" t="s">
        <v>65</v>
      </c>
    </row>
    <row r="27" spans="2:6" x14ac:dyDescent="0.25">
      <c r="B27" s="5" t="s">
        <v>75</v>
      </c>
      <c r="C27" s="9">
        <v>60</v>
      </c>
      <c r="D27" s="7" t="s">
        <v>44</v>
      </c>
      <c r="E27" s="5" t="s">
        <v>76</v>
      </c>
      <c r="F27" s="5" t="s">
        <v>65</v>
      </c>
    </row>
    <row r="28" spans="2:6" x14ac:dyDescent="0.25">
      <c r="B28" s="5" t="s">
        <v>77</v>
      </c>
      <c r="C28" s="8">
        <v>4</v>
      </c>
      <c r="D28" s="7" t="s">
        <v>78</v>
      </c>
      <c r="E28" s="5" t="s">
        <v>79</v>
      </c>
      <c r="F28" s="5" t="s">
        <v>65</v>
      </c>
    </row>
    <row r="29" spans="2:6" x14ac:dyDescent="0.25">
      <c r="B29" s="5" t="s">
        <v>80</v>
      </c>
      <c r="C29" s="9">
        <v>25</v>
      </c>
      <c r="D29" s="7" t="s">
        <v>44</v>
      </c>
      <c r="E29" s="5" t="s">
        <v>81</v>
      </c>
      <c r="F29" s="5" t="s">
        <v>65</v>
      </c>
    </row>
    <row r="30" spans="2:6" x14ac:dyDescent="0.25">
      <c r="B30" s="5" t="s">
        <v>82</v>
      </c>
      <c r="C30" s="6">
        <v>24</v>
      </c>
      <c r="D30" s="7" t="s">
        <v>36</v>
      </c>
      <c r="E30" s="5" t="s">
        <v>83</v>
      </c>
      <c r="F30" s="5" t="s">
        <v>28</v>
      </c>
    </row>
    <row r="31" spans="2:6" ht="25.5" x14ac:dyDescent="0.25">
      <c r="B31" s="5" t="s">
        <v>84</v>
      </c>
      <c r="C31" s="10">
        <v>0.8</v>
      </c>
      <c r="D31" s="7" t="s">
        <v>59</v>
      </c>
      <c r="E31" s="5" t="s">
        <v>85</v>
      </c>
      <c r="F31" s="5" t="s">
        <v>214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showGridLines="0" topLeftCell="A7" zoomScaleNormal="100" workbookViewId="0"/>
  </sheetViews>
  <sheetFormatPr defaultColWidth="8.7109375" defaultRowHeight="15" x14ac:dyDescent="0.25"/>
  <cols>
    <col min="1" max="1" width="2" customWidth="1"/>
    <col min="2" max="2" width="58" customWidth="1"/>
    <col min="3" max="3" width="14" customWidth="1"/>
    <col min="4" max="4" width="10" customWidth="1"/>
    <col min="5" max="5" width="52" customWidth="1"/>
  </cols>
  <sheetData>
    <row r="1" spans="1:5" ht="18" x14ac:dyDescent="0.25">
      <c r="A1" s="2" t="s">
        <v>86</v>
      </c>
    </row>
    <row r="2" spans="1:5" x14ac:dyDescent="0.25">
      <c r="A2" s="3" t="s">
        <v>87</v>
      </c>
    </row>
    <row r="4" spans="1:5" x14ac:dyDescent="0.25">
      <c r="B4" s="4" t="s">
        <v>88</v>
      </c>
      <c r="C4" s="4" t="s">
        <v>3</v>
      </c>
      <c r="D4" s="4" t="s">
        <v>4</v>
      </c>
      <c r="E4" s="4" t="s">
        <v>89</v>
      </c>
    </row>
    <row r="5" spans="1:5" x14ac:dyDescent="0.25">
      <c r="B5" s="5" t="s">
        <v>90</v>
      </c>
      <c r="C5" s="11">
        <f>Parâmetros!$C$10*Parâmetros!$C$11</f>
        <v>48</v>
      </c>
      <c r="D5" s="7" t="s">
        <v>78</v>
      </c>
      <c r="E5" s="5" t="s">
        <v>91</v>
      </c>
    </row>
    <row r="6" spans="1:5" x14ac:dyDescent="0.25">
      <c r="B6" s="5" t="s">
        <v>92</v>
      </c>
      <c r="C6" s="11">
        <f>Parâmetros!$C$5*Parâmetros!$C$7/60</f>
        <v>30.6</v>
      </c>
      <c r="D6" s="7" t="s">
        <v>78</v>
      </c>
      <c r="E6" s="5" t="s">
        <v>93</v>
      </c>
    </row>
    <row r="7" spans="1:5" x14ac:dyDescent="0.25">
      <c r="B7" s="5" t="s">
        <v>94</v>
      </c>
      <c r="C7" s="11">
        <f>C5-C6</f>
        <v>17.399999999999999</v>
      </c>
      <c r="D7" s="7" t="s">
        <v>78</v>
      </c>
      <c r="E7" s="5" t="s">
        <v>95</v>
      </c>
    </row>
    <row r="8" spans="1:5" x14ac:dyDescent="0.25">
      <c r="B8" s="5" t="s">
        <v>96</v>
      </c>
      <c r="C8" s="11">
        <f>Parâmetros!$C$5*Parâmetros!$C$6/60</f>
        <v>20.399999999999999</v>
      </c>
      <c r="D8" s="7" t="s">
        <v>78</v>
      </c>
      <c r="E8" s="5" t="s">
        <v>97</v>
      </c>
    </row>
    <row r="9" spans="1:5" x14ac:dyDescent="0.25">
      <c r="B9" s="5" t="s">
        <v>98</v>
      </c>
      <c r="C9" s="11">
        <f>Parâmetros!$C$8*Parâmetros!$C$9/60</f>
        <v>8.1666666666666661</v>
      </c>
      <c r="D9" s="7" t="s">
        <v>78</v>
      </c>
      <c r="E9" s="5" t="s">
        <v>99</v>
      </c>
    </row>
    <row r="10" spans="1:5" x14ac:dyDescent="0.25">
      <c r="B10" s="5" t="s">
        <v>100</v>
      </c>
      <c r="C10" s="11">
        <f>Parâmetros!$C$12*Parâmetros!$C$13/Parâmetros!$C$14</f>
        <v>8</v>
      </c>
      <c r="D10" s="7" t="s">
        <v>78</v>
      </c>
      <c r="E10" s="5" t="s">
        <v>101</v>
      </c>
    </row>
    <row r="11" spans="1:5" x14ac:dyDescent="0.25">
      <c r="B11" s="12" t="s">
        <v>102</v>
      </c>
      <c r="C11" s="13">
        <f>C6+C7+C8+C9+C10</f>
        <v>84.566666666666677</v>
      </c>
      <c r="D11" s="7" t="s">
        <v>78</v>
      </c>
      <c r="E11" s="5" t="s">
        <v>103</v>
      </c>
    </row>
    <row r="12" spans="1:5" x14ac:dyDescent="0.25">
      <c r="B12" s="5" t="s">
        <v>104</v>
      </c>
      <c r="C12" s="14">
        <f>C11*Parâmetros!$C$15</f>
        <v>1564.4833333333336</v>
      </c>
      <c r="D12" s="7" t="s">
        <v>44</v>
      </c>
      <c r="E12" s="5" t="s">
        <v>105</v>
      </c>
    </row>
    <row r="13" spans="1:5" x14ac:dyDescent="0.25">
      <c r="B13" s="5" t="s">
        <v>106</v>
      </c>
      <c r="C13" s="14">
        <f>Parâmetros!$C$16+Parâmetros!$C$17+Parâmetros!$C$18</f>
        <v>865</v>
      </c>
      <c r="D13" s="7" t="s">
        <v>44</v>
      </c>
      <c r="E13" s="5" t="s">
        <v>107</v>
      </c>
    </row>
    <row r="14" spans="1:5" x14ac:dyDescent="0.25">
      <c r="B14" s="12" t="s">
        <v>108</v>
      </c>
      <c r="C14" s="15">
        <f>C12+C13</f>
        <v>2429.4833333333336</v>
      </c>
      <c r="D14" s="7" t="s">
        <v>44</v>
      </c>
      <c r="E14" s="5" t="s">
        <v>109</v>
      </c>
    </row>
    <row r="15" spans="1:5" x14ac:dyDescent="0.25">
      <c r="B15" s="5" t="s">
        <v>110</v>
      </c>
      <c r="C15" s="14">
        <f>C14*Parâmetros!$C$21</f>
        <v>1457.69</v>
      </c>
      <c r="D15" s="7" t="s">
        <v>44</v>
      </c>
      <c r="E15" s="5" t="s">
        <v>111</v>
      </c>
    </row>
    <row r="16" spans="1:5" x14ac:dyDescent="0.25">
      <c r="B16" s="5" t="s">
        <v>112</v>
      </c>
      <c r="C16" s="14">
        <f>(Parâmetros!$C$22+Parâmetros!$C$23+Parâmetros!$C$24)*Parâmetros!$C$25+Parâmetros!$C$26</f>
        <v>22140</v>
      </c>
      <c r="D16" s="7" t="s">
        <v>73</v>
      </c>
      <c r="E16" s="5" t="s">
        <v>113</v>
      </c>
    </row>
    <row r="17" spans="2:5" x14ac:dyDescent="0.25">
      <c r="B17" s="5" t="s">
        <v>114</v>
      </c>
      <c r="C17" s="14">
        <f>Parâmetros!$C$27+Parâmetros!$C$28*Parâmetros!$C$25+Parâmetros!$C$29</f>
        <v>265</v>
      </c>
      <c r="D17" s="7" t="s">
        <v>44</v>
      </c>
      <c r="E17" s="5" t="s">
        <v>115</v>
      </c>
    </row>
    <row r="18" spans="2:5" x14ac:dyDescent="0.25">
      <c r="B18" s="5" t="s">
        <v>116</v>
      </c>
      <c r="C18" s="14">
        <f>C15-C17</f>
        <v>1192.69</v>
      </c>
      <c r="D18" s="7" t="s">
        <v>44</v>
      </c>
      <c r="E18" s="5" t="s">
        <v>117</v>
      </c>
    </row>
    <row r="19" spans="2:5" x14ac:dyDescent="0.25">
      <c r="B19" s="12" t="s">
        <v>118</v>
      </c>
      <c r="C19" s="16">
        <f>C16/C18</f>
        <v>18.563080096253007</v>
      </c>
      <c r="D19" s="7" t="s">
        <v>36</v>
      </c>
      <c r="E19" s="5" t="s">
        <v>119</v>
      </c>
    </row>
    <row r="20" spans="2:5" x14ac:dyDescent="0.25">
      <c r="B20" s="5" t="s">
        <v>120</v>
      </c>
      <c r="C20" s="17">
        <f>ROUNDUP(C19,0)</f>
        <v>19</v>
      </c>
      <c r="D20" s="7" t="s">
        <v>121</v>
      </c>
      <c r="E20" s="5" t="s">
        <v>122</v>
      </c>
    </row>
    <row r="21" spans="2:5" x14ac:dyDescent="0.25">
      <c r="B21" s="12" t="s">
        <v>123</v>
      </c>
      <c r="C21" s="15">
        <f>Parâmetros!$C$30*C18-C16</f>
        <v>6484.5600000000013</v>
      </c>
      <c r="D21" s="7" t="s">
        <v>73</v>
      </c>
      <c r="E21" s="5" t="s">
        <v>124</v>
      </c>
    </row>
    <row r="23" spans="2:5" x14ac:dyDescent="0.25">
      <c r="B23" s="18" t="s">
        <v>125</v>
      </c>
      <c r="C23" s="19"/>
      <c r="D23" s="19"/>
      <c r="E23" s="19"/>
    </row>
    <row r="24" spans="2:5" x14ac:dyDescent="0.25">
      <c r="B24" s="5" t="s">
        <v>126</v>
      </c>
      <c r="C24" s="20">
        <f>Parâmetros!$C$5*Parâmetros!$C$6/60+Parâmetros!$C$5*Parâmetros!$C$7/60+Parâmetros!$C$8*Parâmetros!$C$9/60+(Parâmetros!$C$10*Parâmetros!$C$11+Parâmetros!$C$12*Parâmetros!$C$13/Parâmetros!$C$14)</f>
        <v>115.16666666666666</v>
      </c>
      <c r="D24" s="7" t="s">
        <v>78</v>
      </c>
      <c r="E24" s="7"/>
    </row>
    <row r="25" spans="2:5" x14ac:dyDescent="0.25">
      <c r="B25" s="5" t="s">
        <v>127</v>
      </c>
      <c r="C25" s="14">
        <f>C24*Parâmetros!$C$15+C13</f>
        <v>2995.583333333333</v>
      </c>
      <c r="D25" s="7" t="s">
        <v>44</v>
      </c>
      <c r="E25" s="7"/>
    </row>
    <row r="26" spans="2:5" x14ac:dyDescent="0.25">
      <c r="B26" s="5" t="s">
        <v>128</v>
      </c>
      <c r="C26" s="11">
        <f>C16/(C25*Parâmetros!$C$21-C17)</f>
        <v>14.448396254119492</v>
      </c>
      <c r="D26" s="7" t="s">
        <v>36</v>
      </c>
      <c r="E26" s="7"/>
    </row>
    <row r="27" spans="2:5" x14ac:dyDescent="0.25">
      <c r="B27" s="5" t="s">
        <v>129</v>
      </c>
      <c r="C27" s="20">
        <f>C24-C11</f>
        <v>30.59999999999998</v>
      </c>
      <c r="D27" s="7" t="s">
        <v>78</v>
      </c>
      <c r="E27" s="7"/>
    </row>
    <row r="29" spans="2:5" ht="42" customHeight="1" x14ac:dyDescent="0.25">
      <c r="B29" s="1" t="s">
        <v>130</v>
      </c>
      <c r="C29" s="1"/>
      <c r="D29" s="1"/>
      <c r="E29" s="1"/>
    </row>
  </sheetData>
  <mergeCells count="1">
    <mergeCell ref="B29:E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0" customWidth="1"/>
    <col min="3" max="3" width="16" customWidth="1"/>
    <col min="4" max="4" width="22" customWidth="1"/>
    <col min="5" max="5" width="60" customWidth="1"/>
  </cols>
  <sheetData>
    <row r="1" spans="1:5" ht="18" x14ac:dyDescent="0.25">
      <c r="A1" s="2" t="s">
        <v>131</v>
      </c>
    </row>
    <row r="2" spans="1:5" x14ac:dyDescent="0.25">
      <c r="A2" s="3" t="s">
        <v>132</v>
      </c>
    </row>
    <row r="4" spans="1:5" x14ac:dyDescent="0.25">
      <c r="B4" s="4" t="s">
        <v>133</v>
      </c>
      <c r="C4" s="4" t="s">
        <v>3</v>
      </c>
      <c r="D4" s="4" t="s">
        <v>4</v>
      </c>
      <c r="E4" s="4" t="s">
        <v>134</v>
      </c>
    </row>
    <row r="5" spans="1:5" ht="25.5" x14ac:dyDescent="0.25">
      <c r="B5" s="5" t="s">
        <v>135</v>
      </c>
      <c r="C5" s="21">
        <f>Parâmetros!$C$15*(Parâmetros!$C$6+Parâmetros!$C$7)/60</f>
        <v>4.625</v>
      </c>
      <c r="D5" s="5" t="s">
        <v>136</v>
      </c>
      <c r="E5" s="5" t="s">
        <v>137</v>
      </c>
    </row>
    <row r="6" spans="1:5" x14ac:dyDescent="0.25">
      <c r="B6" s="5" t="s">
        <v>138</v>
      </c>
      <c r="C6" s="21">
        <f>Parâmetros!$C$15*Parâmetros!$C$9/60</f>
        <v>4.3166666666666664</v>
      </c>
      <c r="D6" s="5" t="s">
        <v>139</v>
      </c>
      <c r="E6" s="5" t="s">
        <v>140</v>
      </c>
    </row>
    <row r="7" spans="1:5" x14ac:dyDescent="0.25">
      <c r="B7" s="5" t="s">
        <v>141</v>
      </c>
      <c r="C7" s="14">
        <f>'Modelo ajustado'!$C$11</f>
        <v>84.566666666666677</v>
      </c>
      <c r="D7" s="5" t="s">
        <v>142</v>
      </c>
      <c r="E7" s="5" t="s">
        <v>143</v>
      </c>
    </row>
    <row r="8" spans="1:5" ht="25.5" x14ac:dyDescent="0.25">
      <c r="B8" s="5" t="s">
        <v>144</v>
      </c>
      <c r="C8" s="21">
        <f>Parâmetros!$C$5*Parâmetros!$C$20/Parâmetros!$C$19</f>
        <v>4.5333333333333332</v>
      </c>
      <c r="D8" s="5" t="s">
        <v>145</v>
      </c>
      <c r="E8" s="5" t="s">
        <v>146</v>
      </c>
    </row>
    <row r="9" spans="1:5" ht="25.5" x14ac:dyDescent="0.25">
      <c r="B9" s="5" t="s">
        <v>147</v>
      </c>
      <c r="C9" s="14">
        <f>C5*C8</f>
        <v>20.966666666666665</v>
      </c>
      <c r="D9" s="5" t="s">
        <v>148</v>
      </c>
      <c r="E9" s="5" t="s">
        <v>149</v>
      </c>
    </row>
    <row r="10" spans="1:5" ht="25.5" x14ac:dyDescent="0.25">
      <c r="B10" s="5" t="s">
        <v>150</v>
      </c>
      <c r="C10" s="14">
        <f>'Modelo ajustado'!$C$14</f>
        <v>2429.4833333333336</v>
      </c>
      <c r="D10" s="5" t="s">
        <v>44</v>
      </c>
      <c r="E10" s="5" t="s">
        <v>151</v>
      </c>
    </row>
    <row r="11" spans="1:5" x14ac:dyDescent="0.25">
      <c r="B11" s="5" t="s">
        <v>152</v>
      </c>
      <c r="C11" s="14">
        <f>C10/100</f>
        <v>24.294833333333337</v>
      </c>
      <c r="D11" s="5" t="s">
        <v>44</v>
      </c>
      <c r="E11" s="5" t="s">
        <v>153</v>
      </c>
    </row>
    <row r="13" spans="1:5" x14ac:dyDescent="0.25">
      <c r="B13" s="18" t="s">
        <v>154</v>
      </c>
      <c r="C13" s="19"/>
      <c r="D13" s="19"/>
      <c r="E13" s="19"/>
    </row>
    <row r="14" spans="1:5" x14ac:dyDescent="0.25">
      <c r="B14" s="4" t="s">
        <v>155</v>
      </c>
      <c r="C14" s="4" t="s">
        <v>156</v>
      </c>
      <c r="D14" s="4" t="s">
        <v>157</v>
      </c>
      <c r="E14" s="4" t="s">
        <v>158</v>
      </c>
    </row>
    <row r="15" spans="1:5" x14ac:dyDescent="0.25">
      <c r="B15" s="22">
        <v>0</v>
      </c>
      <c r="C15" s="11">
        <f>Parâmetros!$C$5+$C$8*B15</f>
        <v>204</v>
      </c>
      <c r="D15" s="20">
        <f>(C15*(Parâmetros!$C$6+Parâmetros!$C$7)/60)+'Modelo ajustado'!$C$9+'Modelo ajustado'!$C$7+'Modelo ajustado'!$C$10</f>
        <v>84.566666666666663</v>
      </c>
      <c r="E15" s="14">
        <f>D15*Parâmetros!$C$15+'Modelo ajustado'!$C$13</f>
        <v>2429.4833333333336</v>
      </c>
    </row>
    <row r="16" spans="1:5" x14ac:dyDescent="0.25">
      <c r="B16" s="22">
        <v>6</v>
      </c>
      <c r="C16" s="11">
        <f>Parâmetros!$C$5+$C$8*B16</f>
        <v>231.2</v>
      </c>
      <c r="D16" s="20">
        <f>(C16*(Parâmetros!$C$6+Parâmetros!$C$7)/60)+'Modelo ajustado'!$C$9+'Modelo ajustado'!$C$7+'Modelo ajustado'!$C$10</f>
        <v>91.366666666666674</v>
      </c>
      <c r="E16" s="14">
        <f>D16*Parâmetros!$C$15+'Modelo ajustado'!$C$13</f>
        <v>2555.2833333333338</v>
      </c>
    </row>
    <row r="17" spans="2:5" x14ac:dyDescent="0.25">
      <c r="B17" s="22">
        <v>12</v>
      </c>
      <c r="C17" s="11">
        <f>Parâmetros!$C$5+$C$8*B17</f>
        <v>258.39999999999998</v>
      </c>
      <c r="D17" s="20">
        <f>(C17*(Parâmetros!$C$6+Parâmetros!$C$7)/60)+'Modelo ajustado'!$C$9+'Modelo ajustado'!$C$7+'Modelo ajustado'!$C$10</f>
        <v>98.166666666666657</v>
      </c>
      <c r="E17" s="14">
        <f>D17*Parâmetros!$C$15+'Modelo ajustado'!$C$13</f>
        <v>2681.083333333333</v>
      </c>
    </row>
    <row r="18" spans="2:5" x14ac:dyDescent="0.25">
      <c r="B18" s="22">
        <v>18</v>
      </c>
      <c r="C18" s="11">
        <f>Parâmetros!$C$5+$C$8*B18</f>
        <v>285.60000000000002</v>
      </c>
      <c r="D18" s="20">
        <f>(C18*(Parâmetros!$C$6+Parâmetros!$C$7)/60)+'Modelo ajustado'!$C$9+'Modelo ajustado'!$C$7+'Modelo ajustado'!$C$10</f>
        <v>104.96666666666667</v>
      </c>
      <c r="E18" s="14">
        <f>D18*Parâmetros!$C$15+'Modelo ajustado'!$C$13</f>
        <v>2806.8833333333332</v>
      </c>
    </row>
    <row r="19" spans="2:5" x14ac:dyDescent="0.25">
      <c r="B19" s="22">
        <v>24</v>
      </c>
      <c r="C19" s="11">
        <f>Parâmetros!$C$5+$C$8*B19</f>
        <v>312.8</v>
      </c>
      <c r="D19" s="20">
        <f>(C19*(Parâmetros!$C$6+Parâmetros!$C$7)/60)+'Modelo ajustado'!$C$9+'Modelo ajustado'!$C$7+'Modelo ajustado'!$C$10</f>
        <v>111.76666666666668</v>
      </c>
      <c r="E19" s="14">
        <f>D19*Parâmetros!$C$15+'Modelo ajustado'!$C$13</f>
        <v>2932.6833333333334</v>
      </c>
    </row>
    <row r="21" spans="2:5" ht="11.85" customHeight="1" x14ac:dyDescent="0.25">
      <c r="B21" s="1" t="s">
        <v>159</v>
      </c>
      <c r="C21" s="1"/>
      <c r="D21" s="1"/>
      <c r="E21" s="1"/>
    </row>
    <row r="22" spans="2:5" ht="25.5" x14ac:dyDescent="0.25">
      <c r="B22" s="5" t="s">
        <v>160</v>
      </c>
      <c r="C22" s="14">
        <f>(E19-E15)/24</f>
        <v>20.966666666666658</v>
      </c>
    </row>
  </sheetData>
  <mergeCells count="1">
    <mergeCell ref="B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4" customWidth="1"/>
    <col min="3" max="4" width="16" customWidth="1"/>
    <col min="5" max="5" width="52" customWidth="1"/>
  </cols>
  <sheetData>
    <row r="1" spans="1:5" ht="18" x14ac:dyDescent="0.25">
      <c r="A1" s="2" t="s">
        <v>161</v>
      </c>
    </row>
    <row r="2" spans="1:5" x14ac:dyDescent="0.25">
      <c r="A2" s="3" t="s">
        <v>162</v>
      </c>
    </row>
    <row r="4" spans="1:5" x14ac:dyDescent="0.25">
      <c r="B4" s="4" t="s">
        <v>163</v>
      </c>
      <c r="C4" s="4" t="s">
        <v>3</v>
      </c>
      <c r="D4" s="4" t="s">
        <v>4</v>
      </c>
      <c r="E4" s="4" t="s">
        <v>164</v>
      </c>
    </row>
    <row r="5" spans="1:5" x14ac:dyDescent="0.25">
      <c r="B5" s="5" t="s">
        <v>165</v>
      </c>
      <c r="C5" s="23">
        <f>Parâmetros!$C$31</f>
        <v>0.8</v>
      </c>
      <c r="D5" s="7" t="s">
        <v>59</v>
      </c>
      <c r="E5" s="5" t="s">
        <v>166</v>
      </c>
    </row>
    <row r="6" spans="1:5" x14ac:dyDescent="0.25">
      <c r="B6" s="5" t="s">
        <v>167</v>
      </c>
      <c r="C6" s="23">
        <f>Parâmetros!$C$21</f>
        <v>0.6</v>
      </c>
      <c r="D6" s="7" t="s">
        <v>59</v>
      </c>
      <c r="E6" s="5" t="s">
        <v>168</v>
      </c>
    </row>
    <row r="7" spans="1:5" x14ac:dyDescent="0.25">
      <c r="B7" s="5" t="s">
        <v>169</v>
      </c>
      <c r="C7" s="17">
        <f>Parâmetros!$C$22</f>
        <v>320</v>
      </c>
      <c r="D7" s="7" t="s">
        <v>63</v>
      </c>
      <c r="E7" s="5" t="s">
        <v>170</v>
      </c>
    </row>
    <row r="8" spans="1:5" ht="25.5" x14ac:dyDescent="0.25">
      <c r="B8" s="5" t="s">
        <v>171</v>
      </c>
      <c r="C8" s="14">
        <f>'Modelo ajustado'!$C$14</f>
        <v>2429.4833333333336</v>
      </c>
      <c r="D8" s="7" t="s">
        <v>44</v>
      </c>
      <c r="E8" s="5" t="s">
        <v>172</v>
      </c>
    </row>
    <row r="9" spans="1:5" x14ac:dyDescent="0.25">
      <c r="B9" s="5" t="s">
        <v>173</v>
      </c>
      <c r="C9" s="17">
        <f>Parâmetros!$C$30</f>
        <v>24</v>
      </c>
      <c r="D9" s="7" t="s">
        <v>36</v>
      </c>
      <c r="E9" s="5" t="s">
        <v>174</v>
      </c>
    </row>
    <row r="10" spans="1:5" x14ac:dyDescent="0.25">
      <c r="B10" s="5" t="s">
        <v>175</v>
      </c>
      <c r="C10" s="14">
        <f>Parâmetros!$C$25</f>
        <v>45</v>
      </c>
      <c r="D10" s="7" t="s">
        <v>40</v>
      </c>
      <c r="E10" s="5" t="s">
        <v>174</v>
      </c>
    </row>
    <row r="11" spans="1:5" x14ac:dyDescent="0.25">
      <c r="B11" s="5" t="s">
        <v>176</v>
      </c>
      <c r="C11" s="14">
        <f>'Modelo ajustado'!$C$17</f>
        <v>265</v>
      </c>
      <c r="D11" s="7" t="s">
        <v>44</v>
      </c>
      <c r="E11" s="5" t="s">
        <v>177</v>
      </c>
    </row>
    <row r="12" spans="1:5" x14ac:dyDescent="0.25">
      <c r="B12" s="5" t="s">
        <v>178</v>
      </c>
      <c r="C12" s="14">
        <f>Parâmetros!$C$25*(Parâmetros!$C$23+Parâmetros!$C$24)+Parâmetros!$C$26</f>
        <v>7740</v>
      </c>
      <c r="D12" s="7" t="s">
        <v>73</v>
      </c>
      <c r="E12" s="5" t="s">
        <v>174</v>
      </c>
    </row>
    <row r="13" spans="1:5" x14ac:dyDescent="0.25">
      <c r="B13" s="5" t="s">
        <v>179</v>
      </c>
      <c r="C13" s="11">
        <f>-C7/LN(1-C6/C5)</f>
        <v>230.83120654223421</v>
      </c>
      <c r="D13" s="7" t="s">
        <v>63</v>
      </c>
      <c r="E13" s="5" t="s">
        <v>180</v>
      </c>
    </row>
    <row r="14" spans="1:5" x14ac:dyDescent="0.25">
      <c r="B14" s="12" t="s">
        <v>181</v>
      </c>
      <c r="C14" s="16">
        <f>C13*LN(C9*C8*C5/(C10*C13))</f>
        <v>346.70730587056789</v>
      </c>
      <c r="D14" s="7" t="s">
        <v>63</v>
      </c>
      <c r="E14" s="5" t="s">
        <v>182</v>
      </c>
    </row>
    <row r="15" spans="1:5" x14ac:dyDescent="0.25">
      <c r="B15" s="5" t="s">
        <v>183</v>
      </c>
      <c r="C15" s="24">
        <f>C5*(1-EXP(-C14/C13))</f>
        <v>0.62185162321205922</v>
      </c>
      <c r="D15" s="7" t="s">
        <v>59</v>
      </c>
      <c r="E15" s="5" t="s">
        <v>184</v>
      </c>
    </row>
    <row r="16" spans="1:5" x14ac:dyDescent="0.25">
      <c r="B16" s="12" t="s">
        <v>185</v>
      </c>
      <c r="C16" s="15">
        <f>C9*(C8*C15-C11)-(C10*C14+C12)</f>
        <v>6556.8469414239116</v>
      </c>
      <c r="D16" s="7" t="s">
        <v>73</v>
      </c>
      <c r="E16" s="5" t="s">
        <v>186</v>
      </c>
    </row>
    <row r="17" spans="2:5" x14ac:dyDescent="0.25">
      <c r="B17" s="5" t="s">
        <v>187</v>
      </c>
      <c r="C17" s="14">
        <f>C9*(C8*C6-C11)-(C10*C7+C12)</f>
        <v>6484.5600000000013</v>
      </c>
      <c r="D17" s="7" t="s">
        <v>73</v>
      </c>
      <c r="E17" s="5" t="s">
        <v>188</v>
      </c>
    </row>
    <row r="18" spans="2:5" x14ac:dyDescent="0.25">
      <c r="B18" s="12" t="s">
        <v>189</v>
      </c>
      <c r="C18" s="15">
        <f>C16-C17</f>
        <v>72.286941423910321</v>
      </c>
      <c r="D18" s="7" t="s">
        <v>73</v>
      </c>
      <c r="E18" s="5" t="s">
        <v>190</v>
      </c>
    </row>
    <row r="19" spans="2:5" x14ac:dyDescent="0.25">
      <c r="B19" s="5" t="s">
        <v>191</v>
      </c>
      <c r="C19" s="25">
        <f>-C9*C8*C5/C13^2*EXP(-C14/C13)</f>
        <v>-0.19494764453248459</v>
      </c>
      <c r="D19" s="7" t="s">
        <v>192</v>
      </c>
      <c r="E19" s="5" t="s">
        <v>193</v>
      </c>
    </row>
    <row r="20" spans="2:5" x14ac:dyDescent="0.25">
      <c r="B20" s="5" t="s">
        <v>194</v>
      </c>
      <c r="C20" s="26">
        <f>C9*C8*C5/C13*EXP(-C14/C13)-C10</f>
        <v>0</v>
      </c>
      <c r="D20" s="7" t="s">
        <v>40</v>
      </c>
      <c r="E20" s="5" t="s">
        <v>195</v>
      </c>
    </row>
    <row r="22" spans="2:5" x14ac:dyDescent="0.25">
      <c r="B22" s="18" t="s">
        <v>196</v>
      </c>
      <c r="C22" s="19"/>
      <c r="D22" s="19"/>
      <c r="E22" s="19"/>
    </row>
    <row r="23" spans="2:5" x14ac:dyDescent="0.25">
      <c r="B23" s="4" t="s">
        <v>197</v>
      </c>
      <c r="C23" s="4" t="s">
        <v>198</v>
      </c>
      <c r="D23" s="4" t="s">
        <v>199</v>
      </c>
      <c r="E23" s="4" t="s">
        <v>200</v>
      </c>
    </row>
    <row r="24" spans="2:5" x14ac:dyDescent="0.25">
      <c r="B24" s="22">
        <v>0</v>
      </c>
      <c r="C24" s="24">
        <f t="shared" ref="C24:C64" si="0">$C$5*(1-EXP(-B24/$C$13))</f>
        <v>0</v>
      </c>
      <c r="D24" s="14">
        <f t="shared" ref="D24:D64" si="1">$C$9*($C$8*C24-$C$11)-($C$10*B24+$C$12)</f>
        <v>-14100</v>
      </c>
      <c r="E24" s="14">
        <f t="shared" ref="E24:E64" si="2">$C$9*$C$8*$C$5/$C$13*EXP(-B24/$C$13)-$C$10</f>
        <v>157.07874272608532</v>
      </c>
    </row>
    <row r="25" spans="2:5" x14ac:dyDescent="0.25">
      <c r="B25" s="22">
        <v>20</v>
      </c>
      <c r="C25" s="24">
        <f t="shared" si="0"/>
        <v>6.6396765436263036E-2</v>
      </c>
      <c r="D25" s="14">
        <f t="shared" si="1"/>
        <v>-11128.563959648549</v>
      </c>
      <c r="E25" s="14">
        <f t="shared" si="2"/>
        <v>140.3070241255368</v>
      </c>
    </row>
    <row r="26" spans="2:5" x14ac:dyDescent="0.25">
      <c r="B26" s="22">
        <v>40</v>
      </c>
      <c r="C26" s="24">
        <f t="shared" si="0"/>
        <v>0.12728286779702833</v>
      </c>
      <c r="D26" s="14">
        <f t="shared" si="1"/>
        <v>-8478.4414576379913</v>
      </c>
      <c r="E26" s="14">
        <f t="shared" si="2"/>
        <v>124.9272903573428</v>
      </c>
    </row>
    <row r="27" spans="2:5" x14ac:dyDescent="0.25">
      <c r="B27" s="22">
        <v>60</v>
      </c>
      <c r="C27" s="24">
        <f t="shared" si="0"/>
        <v>0.18311566983682362</v>
      </c>
      <c r="D27" s="14">
        <f t="shared" si="1"/>
        <v>-6122.9647694224223</v>
      </c>
      <c r="E27" s="14">
        <f t="shared" si="2"/>
        <v>110.82401230849749</v>
      </c>
    </row>
    <row r="28" spans="2:5" x14ac:dyDescent="0.25">
      <c r="B28" s="22">
        <v>80</v>
      </c>
      <c r="C28" s="24">
        <f t="shared" si="0"/>
        <v>0.23431457505076195</v>
      </c>
      <c r="D28" s="14">
        <f t="shared" si="1"/>
        <v>-4037.6794837701909</v>
      </c>
      <c r="E28" s="14">
        <f t="shared" si="2"/>
        <v>97.891249315266663</v>
      </c>
    </row>
    <row r="29" spans="2:5" x14ac:dyDescent="0.25">
      <c r="B29" s="22">
        <v>100</v>
      </c>
      <c r="C29" s="24">
        <f t="shared" si="0"/>
        <v>0.28126417813959609</v>
      </c>
      <c r="D29" s="14">
        <f t="shared" si="1"/>
        <v>-2200.160806707685</v>
      </c>
      <c r="E29" s="14">
        <f t="shared" si="2"/>
        <v>86.031853360666247</v>
      </c>
    </row>
    <row r="30" spans="2:5" x14ac:dyDescent="0.25">
      <c r="B30" s="22">
        <v>120</v>
      </c>
      <c r="C30" s="24">
        <f t="shared" si="0"/>
        <v>0.32431715399891153</v>
      </c>
      <c r="D30" s="14">
        <f t="shared" si="1"/>
        <v>-589.84511149306309</v>
      </c>
      <c r="E30" s="14">
        <f t="shared" si="2"/>
        <v>75.156739320332534</v>
      </c>
    </row>
    <row r="31" spans="2:5" x14ac:dyDescent="0.25">
      <c r="B31" s="22">
        <v>140</v>
      </c>
      <c r="C31" s="24">
        <f t="shared" si="0"/>
        <v>0.36379690693389688</v>
      </c>
      <c r="D31" s="14">
        <f t="shared" si="1"/>
        <v>812.12453073888901</v>
      </c>
      <c r="E31" s="14">
        <f t="shared" si="2"/>
        <v>65.184215775034644</v>
      </c>
    </row>
    <row r="32" spans="2:5" x14ac:dyDescent="0.25">
      <c r="B32" s="22">
        <v>160</v>
      </c>
      <c r="C32" s="24">
        <f t="shared" si="0"/>
        <v>0.39999999999999991</v>
      </c>
      <c r="D32" s="14">
        <f t="shared" si="1"/>
        <v>2023.0399999999972</v>
      </c>
      <c r="E32" s="14">
        <f t="shared" si="2"/>
        <v>56.03937136304269</v>
      </c>
    </row>
    <row r="33" spans="2:5" x14ac:dyDescent="0.25">
      <c r="B33" s="22">
        <v>180</v>
      </c>
      <c r="C33" s="24">
        <f t="shared" si="0"/>
        <v>0.43319838271813149</v>
      </c>
      <c r="D33" s="14">
        <f t="shared" si="1"/>
        <v>3058.7580201757228</v>
      </c>
      <c r="E33" s="14">
        <f t="shared" si="2"/>
        <v>47.653512062768414</v>
      </c>
    </row>
    <row r="34" spans="2:5" x14ac:dyDescent="0.25">
      <c r="B34" s="22">
        <v>200</v>
      </c>
      <c r="C34" s="24">
        <f t="shared" si="0"/>
        <v>0.46364143389851409</v>
      </c>
      <c r="D34" s="14">
        <f t="shared" si="1"/>
        <v>3933.8192711810043</v>
      </c>
      <c r="E34" s="14">
        <f t="shared" si="2"/>
        <v>39.963645178671413</v>
      </c>
    </row>
    <row r="35" spans="2:5" x14ac:dyDescent="0.25">
      <c r="B35" s="22">
        <v>220</v>
      </c>
      <c r="C35" s="24">
        <f t="shared" si="0"/>
        <v>0.49155783491841176</v>
      </c>
      <c r="D35" s="14">
        <f t="shared" si="1"/>
        <v>4661.5576152887879</v>
      </c>
      <c r="E35" s="14">
        <f t="shared" si="2"/>
        <v>32.912006154248772</v>
      </c>
    </row>
    <row r="36" spans="2:5" x14ac:dyDescent="0.25">
      <c r="B36" s="22">
        <v>240</v>
      </c>
      <c r="C36" s="24">
        <f t="shared" si="0"/>
        <v>0.51715728752538082</v>
      </c>
      <c r="D36" s="14">
        <f t="shared" si="1"/>
        <v>5254.2002581148954</v>
      </c>
      <c r="E36" s="14">
        <f t="shared" si="2"/>
        <v>26.445624657633346</v>
      </c>
    </row>
    <row r="37" spans="2:5" x14ac:dyDescent="0.25">
      <c r="B37" s="22">
        <v>260</v>
      </c>
      <c r="C37" s="24">
        <f t="shared" si="0"/>
        <v>0.54063208906979809</v>
      </c>
      <c r="D37" s="14">
        <f t="shared" si="1"/>
        <v>5722.9595966461602</v>
      </c>
      <c r="E37" s="14">
        <f t="shared" si="2"/>
        <v>20.515926680333138</v>
      </c>
    </row>
    <row r="38" spans="2:5" x14ac:dyDescent="0.25">
      <c r="B38" s="22">
        <v>280</v>
      </c>
      <c r="C38" s="24">
        <f t="shared" si="0"/>
        <v>0.56215857699945571</v>
      </c>
      <c r="D38" s="14">
        <f t="shared" si="1"/>
        <v>6078.1174442534648</v>
      </c>
      <c r="E38" s="14">
        <f t="shared" si="2"/>
        <v>15.078369660166281</v>
      </c>
    </row>
    <row r="39" spans="2:5" x14ac:dyDescent="0.25">
      <c r="B39" s="22">
        <v>300</v>
      </c>
      <c r="C39" s="24">
        <f t="shared" si="0"/>
        <v>0.58189845346694846</v>
      </c>
      <c r="D39" s="14">
        <f t="shared" si="1"/>
        <v>6329.1022653694454</v>
      </c>
      <c r="E39" s="14">
        <f t="shared" si="2"/>
        <v>10.092107887517322</v>
      </c>
    </row>
    <row r="40" spans="2:5" x14ac:dyDescent="0.25">
      <c r="B40" s="22">
        <v>320</v>
      </c>
      <c r="C40" s="24">
        <f t="shared" si="0"/>
        <v>0.6</v>
      </c>
      <c r="D40" s="14">
        <f t="shared" si="1"/>
        <v>6484.5600000000013</v>
      </c>
      <c r="E40" s="14">
        <f t="shared" si="2"/>
        <v>5.5196856815213522</v>
      </c>
    </row>
    <row r="41" spans="2:5" x14ac:dyDescent="0.25">
      <c r="B41" s="22">
        <v>340</v>
      </c>
      <c r="C41" s="24">
        <f t="shared" si="0"/>
        <v>0.61659919135906571</v>
      </c>
      <c r="D41" s="14">
        <f t="shared" si="1"/>
        <v>6552.4190100878623</v>
      </c>
      <c r="E41" s="14">
        <f t="shared" si="2"/>
        <v>1.326756031384221</v>
      </c>
    </row>
    <row r="42" spans="2:5" x14ac:dyDescent="0.25">
      <c r="B42" s="22">
        <v>360</v>
      </c>
      <c r="C42" s="24">
        <f t="shared" si="0"/>
        <v>0.63182071694925712</v>
      </c>
      <c r="D42" s="14">
        <f t="shared" si="1"/>
        <v>6539.9496355905067</v>
      </c>
      <c r="E42" s="14">
        <f t="shared" si="2"/>
        <v>-2.5181774106642791</v>
      </c>
    </row>
    <row r="43" spans="2:5" x14ac:dyDescent="0.25">
      <c r="B43" s="22">
        <v>380</v>
      </c>
      <c r="C43" s="24">
        <f t="shared" si="0"/>
        <v>0.6457789174592059</v>
      </c>
      <c r="D43" s="14">
        <f t="shared" si="1"/>
        <v>6453.8188076443985</v>
      </c>
      <c r="E43" s="14">
        <f t="shared" si="2"/>
        <v>-6.043996922875607</v>
      </c>
    </row>
    <row r="44" spans="2:5" x14ac:dyDescent="0.25">
      <c r="B44" s="22">
        <v>400</v>
      </c>
      <c r="C44" s="24">
        <f t="shared" si="0"/>
        <v>0.65857864376269049</v>
      </c>
      <c r="D44" s="14">
        <f t="shared" si="1"/>
        <v>6300.1401290574577</v>
      </c>
      <c r="E44" s="14">
        <f t="shared" si="2"/>
        <v>-9.2771876711833272</v>
      </c>
    </row>
    <row r="45" spans="2:5" x14ac:dyDescent="0.25">
      <c r="B45" s="22">
        <v>420</v>
      </c>
      <c r="C45" s="24">
        <f t="shared" si="0"/>
        <v>0.67031604453489901</v>
      </c>
      <c r="D45" s="14">
        <f t="shared" si="1"/>
        <v>6084.5197983230792</v>
      </c>
      <c r="E45" s="14">
        <f t="shared" si="2"/>
        <v>-12.242036659833424</v>
      </c>
    </row>
    <row r="46" spans="2:5" x14ac:dyDescent="0.25">
      <c r="B46" s="22">
        <v>440</v>
      </c>
      <c r="C46" s="24">
        <f t="shared" si="0"/>
        <v>0.68107928849972788</v>
      </c>
      <c r="D46" s="14">
        <f t="shared" si="1"/>
        <v>5812.0987221267351</v>
      </c>
      <c r="E46" s="14">
        <f t="shared" si="2"/>
        <v>-14.960815169916849</v>
      </c>
    </row>
    <row r="47" spans="2:5" x14ac:dyDescent="0.25">
      <c r="B47" s="22">
        <v>460</v>
      </c>
      <c r="C47" s="24">
        <f t="shared" si="0"/>
        <v>0.69094922673347414</v>
      </c>
      <c r="D47" s="14">
        <f t="shared" si="1"/>
        <v>5487.5911326847199</v>
      </c>
      <c r="E47" s="14">
        <f t="shared" si="2"/>
        <v>-17.453946056241328</v>
      </c>
    </row>
    <row r="48" spans="2:5" x14ac:dyDescent="0.25">
      <c r="B48" s="22">
        <v>480</v>
      </c>
      <c r="C48" s="24">
        <f t="shared" si="0"/>
        <v>0.7</v>
      </c>
      <c r="D48" s="14">
        <f t="shared" si="1"/>
        <v>5115.32</v>
      </c>
      <c r="E48" s="14">
        <f t="shared" si="2"/>
        <v>-19.740157159239317</v>
      </c>
    </row>
    <row r="49" spans="2:5" x14ac:dyDescent="0.25">
      <c r="B49" s="22">
        <v>500</v>
      </c>
      <c r="C49" s="24">
        <f t="shared" si="0"/>
        <v>0.70829959567953282</v>
      </c>
      <c r="D49" s="14">
        <f t="shared" si="1"/>
        <v>4699.249505043932</v>
      </c>
      <c r="E49" s="14">
        <f t="shared" si="2"/>
        <v>-21.836621984307882</v>
      </c>
    </row>
    <row r="50" spans="2:5" x14ac:dyDescent="0.25">
      <c r="B50" s="22">
        <v>520</v>
      </c>
      <c r="C50" s="24">
        <f t="shared" si="0"/>
        <v>0.71591035847462858</v>
      </c>
      <c r="D50" s="14">
        <f t="shared" si="1"/>
        <v>4243.0148177952578</v>
      </c>
      <c r="E50" s="14">
        <f t="shared" si="2"/>
        <v>-23.75908870533214</v>
      </c>
    </row>
    <row r="51" spans="2:5" x14ac:dyDescent="0.25">
      <c r="B51" s="22">
        <v>540</v>
      </c>
      <c r="C51" s="24">
        <f t="shared" si="0"/>
        <v>0.72288945872960297</v>
      </c>
      <c r="D51" s="14">
        <f t="shared" si="1"/>
        <v>3749.9494038222037</v>
      </c>
      <c r="E51" s="14">
        <f t="shared" si="2"/>
        <v>-25.5219984614378</v>
      </c>
    </row>
    <row r="52" spans="2:5" x14ac:dyDescent="0.25">
      <c r="B52" s="22">
        <v>560</v>
      </c>
      <c r="C52" s="24">
        <f t="shared" si="0"/>
        <v>0.72928932188134521</v>
      </c>
      <c r="D52" s="14">
        <f t="shared" si="1"/>
        <v>3223.1100645287297</v>
      </c>
      <c r="E52" s="14">
        <f t="shared" si="2"/>
        <v>-27.13859383559166</v>
      </c>
    </row>
    <row r="53" spans="2:5" x14ac:dyDescent="0.25">
      <c r="B53" s="22">
        <v>580</v>
      </c>
      <c r="C53" s="24">
        <f t="shared" si="0"/>
        <v>0.73515802226744942</v>
      </c>
      <c r="D53" s="14">
        <f t="shared" si="1"/>
        <v>2665.2998991615386</v>
      </c>
      <c r="E53" s="14">
        <f t="shared" si="2"/>
        <v>-28.621018329916708</v>
      </c>
    </row>
    <row r="54" spans="2:5" x14ac:dyDescent="0.25">
      <c r="B54" s="22">
        <v>600</v>
      </c>
      <c r="C54" s="24">
        <f t="shared" si="0"/>
        <v>0.74053964424986396</v>
      </c>
      <c r="D54" s="14">
        <f t="shared" si="1"/>
        <v>2079.0893610633721</v>
      </c>
      <c r="E54" s="14">
        <f t="shared" si="2"/>
        <v>-29.980407584958428</v>
      </c>
    </row>
    <row r="55" spans="2:5" x14ac:dyDescent="0.25">
      <c r="B55" s="22">
        <v>620</v>
      </c>
      <c r="C55" s="24">
        <f t="shared" si="0"/>
        <v>0.74547461336673715</v>
      </c>
      <c r="D55" s="14">
        <f t="shared" si="1"/>
        <v>1466.8355663423717</v>
      </c>
      <c r="E55" s="14">
        <f t="shared" si="2"/>
        <v>-31.226973028120661</v>
      </c>
    </row>
    <row r="56" spans="2:5" x14ac:dyDescent="0.25">
      <c r="B56" s="22">
        <v>640</v>
      </c>
      <c r="C56" s="24">
        <f t="shared" si="0"/>
        <v>0.75</v>
      </c>
      <c r="D56" s="14">
        <f t="shared" si="1"/>
        <v>830.70000000000437</v>
      </c>
      <c r="E56" s="14">
        <f t="shared" si="2"/>
        <v>-32.370078579619658</v>
      </c>
    </row>
    <row r="57" spans="2:5" x14ac:dyDescent="0.25">
      <c r="B57" s="22">
        <v>660</v>
      </c>
      <c r="C57" s="24">
        <f t="shared" si="0"/>
        <v>0.75414979783976643</v>
      </c>
      <c r="D57" s="14">
        <f t="shared" si="1"/>
        <v>172.66475252196688</v>
      </c>
      <c r="E57" s="14">
        <f t="shared" si="2"/>
        <v>-33.418310992153941</v>
      </c>
    </row>
    <row r="58" spans="2:5" x14ac:dyDescent="0.25">
      <c r="B58" s="22">
        <v>680</v>
      </c>
      <c r="C58" s="24">
        <f t="shared" si="0"/>
        <v>0.75795517923731426</v>
      </c>
      <c r="D58" s="14">
        <f t="shared" si="1"/>
        <v>-505.45259110237384</v>
      </c>
      <c r="E58" s="14">
        <f t="shared" si="2"/>
        <v>-34.379544352666066</v>
      </c>
    </row>
    <row r="59" spans="2:5" x14ac:dyDescent="0.25">
      <c r="B59" s="22">
        <v>700</v>
      </c>
      <c r="C59" s="24">
        <f t="shared" si="0"/>
        <v>0.76144472936480145</v>
      </c>
      <c r="D59" s="14">
        <f t="shared" si="1"/>
        <v>-1201.9852980888973</v>
      </c>
      <c r="E59" s="14">
        <f t="shared" si="2"/>
        <v>-35.260999230718902</v>
      </c>
    </row>
    <row r="60" spans="2:5" x14ac:dyDescent="0.25">
      <c r="B60" s="22">
        <v>720</v>
      </c>
      <c r="C60" s="24">
        <f t="shared" si="0"/>
        <v>0.76464466094067263</v>
      </c>
      <c r="D60" s="14">
        <f t="shared" si="1"/>
        <v>-1915.4049677356379</v>
      </c>
      <c r="E60" s="14">
        <f t="shared" si="2"/>
        <v>-36.069296917795825</v>
      </c>
    </row>
    <row r="61" spans="2:5" x14ac:dyDescent="0.25">
      <c r="B61" s="22">
        <v>740</v>
      </c>
      <c r="C61" s="24">
        <f t="shared" si="0"/>
        <v>0.76757901113372473</v>
      </c>
      <c r="D61" s="14">
        <f t="shared" si="1"/>
        <v>-2644.3100504192262</v>
      </c>
      <c r="E61" s="14">
        <f t="shared" si="2"/>
        <v>-36.810509164958347</v>
      </c>
    </row>
    <row r="62" spans="2:5" x14ac:dyDescent="0.25">
      <c r="B62" s="22">
        <v>760</v>
      </c>
      <c r="C62" s="24">
        <f t="shared" si="0"/>
        <v>0.770269822124932</v>
      </c>
      <c r="D62" s="14">
        <f t="shared" si="1"/>
        <v>-3387.4153194683095</v>
      </c>
      <c r="E62" s="14">
        <f t="shared" si="2"/>
        <v>-37.490203792479214</v>
      </c>
    </row>
    <row r="63" spans="2:5" x14ac:dyDescent="0.25">
      <c r="B63" s="22">
        <v>780</v>
      </c>
      <c r="C63" s="24">
        <f t="shared" si="0"/>
        <v>0.7727373066833686</v>
      </c>
      <c r="D63" s="14">
        <f t="shared" si="1"/>
        <v>-4143.5422168288133</v>
      </c>
      <c r="E63" s="14">
        <f t="shared" si="2"/>
        <v>-38.113486514060327</v>
      </c>
    </row>
    <row r="64" spans="2:5" x14ac:dyDescent="0.25">
      <c r="B64" s="22">
        <v>800</v>
      </c>
      <c r="C64" s="24">
        <f t="shared" si="0"/>
        <v>0.77500000000000002</v>
      </c>
      <c r="D64" s="14">
        <f t="shared" si="1"/>
        <v>-4911.6099999999933</v>
      </c>
      <c r="E64" s="14">
        <f t="shared" si="2"/>
        <v>-38.685039289809829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20" customWidth="1"/>
    <col min="3" max="3" width="14" customWidth="1"/>
    <col min="4" max="5" width="12" customWidth="1"/>
    <col min="6" max="6" width="16" customWidth="1"/>
    <col min="7" max="7" width="18" customWidth="1"/>
    <col min="8" max="8" width="14" customWidth="1"/>
  </cols>
  <sheetData>
    <row r="1" spans="1:8" ht="18" x14ac:dyDescent="0.25">
      <c r="A1" s="2" t="s">
        <v>201</v>
      </c>
    </row>
    <row r="2" spans="1:8" x14ac:dyDescent="0.25">
      <c r="A2" s="3" t="s">
        <v>202</v>
      </c>
    </row>
    <row r="4" spans="1:8" x14ac:dyDescent="0.25">
      <c r="B4" s="4" t="s">
        <v>203</v>
      </c>
      <c r="C4" s="4" t="s">
        <v>204</v>
      </c>
      <c r="D4" s="4" t="s">
        <v>205</v>
      </c>
      <c r="E4" s="4" t="s">
        <v>184</v>
      </c>
      <c r="F4" s="4" t="s">
        <v>206</v>
      </c>
      <c r="G4" s="4" t="s">
        <v>207</v>
      </c>
      <c r="H4" s="4" t="s">
        <v>208</v>
      </c>
    </row>
    <row r="5" spans="1:8" x14ac:dyDescent="0.25">
      <c r="B5" s="27">
        <v>0.65</v>
      </c>
      <c r="C5" s="11">
        <f>-Parâmetros!$C$22/LN(1-Parâmetros!$C$21/B5)</f>
        <v>124.75879848040967</v>
      </c>
      <c r="D5" s="11">
        <f>C5*LN(Parâmetros!$C$30*'Modelo ajustado'!$C$14*B5/(Parâmetros!$C$25*C5))</f>
        <v>238.24689423479529</v>
      </c>
      <c r="E5" s="24">
        <f t="shared" ref="E5:E11" si="0">B5*(1-EXP(-D5/C5))</f>
        <v>0.55371502288520813</v>
      </c>
      <c r="F5" s="14">
        <f>Parâmetros!$C$30*('Modelo ajustado'!$C$14*E5-'Modelo ajustado'!$C$17)-(Parâmetros!$C$25*D5+Parâmetros!$C$25*(Parâmetros!$C$23+Parâmetros!$C$24)+Parâmetros!$C$26)</f>
        <v>7464.6838278157775</v>
      </c>
      <c r="G5" s="14">
        <f>Parâmetros!$C$30*('Modelo ajustado'!$C$14*Parâmetros!$C$21-'Modelo ajustado'!$C$17)-(Parâmetros!$C$25*Parâmetros!$C$22+Parâmetros!$C$25*(Parâmetros!$C$23+Parâmetros!$C$24)+Parâmetros!$C$26)</f>
        <v>6484.5600000000013</v>
      </c>
      <c r="H5" s="14">
        <f t="shared" ref="H5:H11" si="1">F5-G5</f>
        <v>980.12382781577617</v>
      </c>
    </row>
    <row r="6" spans="1:8" x14ac:dyDescent="0.25">
      <c r="B6" s="27">
        <v>0.7</v>
      </c>
      <c r="C6" s="11">
        <f>-Parâmetros!$C$22/LN(1-Parâmetros!$C$21/B6)</f>
        <v>164.44746955832019</v>
      </c>
      <c r="D6" s="11">
        <f>C6*LN(Parâmetros!$C$30*'Modelo ajustado'!$C$14*B6/(Parâmetros!$C$25*C6))</f>
        <v>280.80377395886455</v>
      </c>
      <c r="E6" s="24">
        <f t="shared" si="0"/>
        <v>0.57308453563301509</v>
      </c>
      <c r="F6" s="14">
        <f>Parâmetros!$C$30*('Modelo ajustado'!$C$14*E6-'Modelo ajustado'!$C$17)-(Parâmetros!$C$25*D6+Parâmetros!$C$25*(Parâmetros!$C$23+Parâmetros!$C$24)+Parâmetros!$C$26)</f>
        <v>6679.0140417266884</v>
      </c>
      <c r="G6" s="14">
        <f>Parâmetros!$C$30*('Modelo ajustado'!$C$14*Parâmetros!$C$21-'Modelo ajustado'!$C$17)-(Parâmetros!$C$25*Parâmetros!$C$22+Parâmetros!$C$25*(Parâmetros!$C$23+Parâmetros!$C$24)+Parâmetros!$C$26)</f>
        <v>6484.5600000000013</v>
      </c>
      <c r="H6" s="14">
        <f t="shared" si="1"/>
        <v>194.45404172668714</v>
      </c>
    </row>
    <row r="7" spans="1:8" x14ac:dyDescent="0.25">
      <c r="B7" s="27">
        <v>0.75</v>
      </c>
      <c r="C7" s="11">
        <f>-Parâmetros!$C$22/LN(1-Parâmetros!$C$21/B7)</f>
        <v>198.82717905907583</v>
      </c>
      <c r="D7" s="11">
        <f>C7*LN(Parâmetros!$C$30*'Modelo ajustado'!$C$14*B7/(Parâmetros!$C$25*C7))</f>
        <v>315.48050888594321</v>
      </c>
      <c r="E7" s="24">
        <f t="shared" si="0"/>
        <v>0.59655134051721537</v>
      </c>
      <c r="F7" s="14">
        <f>Parâmetros!$C$30*('Modelo ajustado'!$C$14*E7-'Modelo ajustado'!$C$17)-(Parâmetros!$C$25*D7+Parâmetros!$C$25*(Parâmetros!$C$23+Parâmetros!$C$24)+Parâmetros!$C$26)</f>
        <v>6486.8540424741477</v>
      </c>
      <c r="G7" s="14">
        <f>Parâmetros!$C$30*('Modelo ajustado'!$C$14*Parâmetros!$C$21-'Modelo ajustado'!$C$17)-(Parâmetros!$C$25*Parâmetros!$C$22+Parâmetros!$C$25*(Parâmetros!$C$23+Parâmetros!$C$24)+Parâmetros!$C$26)</f>
        <v>6484.5600000000013</v>
      </c>
      <c r="H7" s="14">
        <f t="shared" si="1"/>
        <v>2.2940424741464085</v>
      </c>
    </row>
    <row r="8" spans="1:8" x14ac:dyDescent="0.25">
      <c r="B8" s="27">
        <v>0.8</v>
      </c>
      <c r="C8" s="11">
        <f>-Parâmetros!$C$22/LN(1-Parâmetros!$C$21/B8)</f>
        <v>230.83120654223421</v>
      </c>
      <c r="D8" s="11">
        <f>C8*LN(Parâmetros!$C$30*'Modelo ajustado'!$C$14*B8/(Parâmetros!$C$25*C8))</f>
        <v>346.70730587056789</v>
      </c>
      <c r="E8" s="24">
        <f t="shared" si="0"/>
        <v>0.62185162321205922</v>
      </c>
      <c r="F8" s="14">
        <f>Parâmetros!$C$30*('Modelo ajustado'!$C$14*E8-'Modelo ajustado'!$C$17)-(Parâmetros!$C$25*D8+Parâmetros!$C$25*(Parâmetros!$C$23+Parâmetros!$C$24)+Parâmetros!$C$26)</f>
        <v>6556.8469414239116</v>
      </c>
      <c r="G8" s="14">
        <f>Parâmetros!$C$30*('Modelo ajustado'!$C$14*Parâmetros!$C$21-'Modelo ajustado'!$C$17)-(Parâmetros!$C$25*Parâmetros!$C$22+Parâmetros!$C$25*(Parâmetros!$C$23+Parâmetros!$C$24)+Parâmetros!$C$26)</f>
        <v>6484.5600000000013</v>
      </c>
      <c r="H8" s="14">
        <f t="shared" si="1"/>
        <v>72.286941423910321</v>
      </c>
    </row>
    <row r="9" spans="1:8" x14ac:dyDescent="0.25">
      <c r="B9" s="27">
        <v>0.85</v>
      </c>
      <c r="C9" s="11">
        <f>-Parâmetros!$C$22/LN(1-Parâmetros!$C$21/B9)</f>
        <v>261.48588354632972</v>
      </c>
      <c r="D9" s="11">
        <f>C9*LN(Parâmetros!$C$30*'Modelo ajustado'!$C$14*B9/(Parâmetros!$C$25*C9))</f>
        <v>375.99735198233196</v>
      </c>
      <c r="E9" s="24">
        <f t="shared" si="0"/>
        <v>0.64819329281972093</v>
      </c>
      <c r="F9" s="14">
        <f>Parâmetros!$C$30*('Modelo ajustado'!$C$14*E9-'Modelo ajustado'!$C$17)-(Parâmetros!$C$25*D9+Parâmetros!$C$25*(Parâmetros!$C$23+Parâmetros!$C$24)+Parâmetros!$C$26)</f>
        <v>6774.714401210229</v>
      </c>
      <c r="G9" s="14">
        <f>Parâmetros!$C$30*('Modelo ajustado'!$C$14*Parâmetros!$C$21-'Modelo ajustado'!$C$17)-(Parâmetros!$C$25*Parâmetros!$C$22+Parâmetros!$C$25*(Parâmetros!$C$23+Parâmetros!$C$24)+Parâmetros!$C$26)</f>
        <v>6484.5600000000013</v>
      </c>
      <c r="H9" s="14">
        <f t="shared" si="1"/>
        <v>290.15440121022766</v>
      </c>
    </row>
    <row r="10" spans="1:8" x14ac:dyDescent="0.25">
      <c r="B10" s="27">
        <v>0.9</v>
      </c>
      <c r="C10" s="11">
        <f>-Parâmetros!$C$22/LN(1-Parâmetros!$C$21/B10)</f>
        <v>291.27655252058798</v>
      </c>
      <c r="D10" s="11">
        <f>C10*LN(Parâmetros!$C$30*'Modelo ajustado'!$C$14*B10/(Parâmetros!$C$25*C10))</f>
        <v>404.05637249873894</v>
      </c>
      <c r="E10" s="24">
        <f t="shared" si="0"/>
        <v>0.67520177706805884</v>
      </c>
      <c r="F10" s="14">
        <f>Parâmetros!$C$30*('Modelo ajustado'!$C$14*E10-'Modelo ajustado'!$C$17)-(Parâmetros!$C$25*D10+Parâmetros!$C$25*(Parâmetros!$C$23+Parâmetros!$C$24)+Parâmetros!$C$26)</f>
        <v>7086.8583741302973</v>
      </c>
      <c r="G10" s="14">
        <f>Parâmetros!$C$30*('Modelo ajustado'!$C$14*Parâmetros!$C$21-'Modelo ajustado'!$C$17)-(Parâmetros!$C$25*Parâmetros!$C$22+Parâmetros!$C$25*(Parâmetros!$C$23+Parâmetros!$C$24)+Parâmetros!$C$26)</f>
        <v>6484.5600000000013</v>
      </c>
      <c r="H10" s="14">
        <f t="shared" si="1"/>
        <v>602.298374130296</v>
      </c>
    </row>
    <row r="11" spans="1:8" x14ac:dyDescent="0.25">
      <c r="B11" s="27">
        <v>0.95</v>
      </c>
      <c r="C11" s="11">
        <f>-Parâmetros!$C$22/LN(1-Parâmetros!$C$21/B11)</f>
        <v>320.47146797392617</v>
      </c>
      <c r="D11" s="11">
        <f>C11*LN(Parâmetros!$C$30*'Modelo ajustado'!$C$14*B11/(Parâmetros!$C$25*C11))</f>
        <v>431.27085380599829</v>
      </c>
      <c r="E11" s="24">
        <f t="shared" si="0"/>
        <v>0.70267004543444289</v>
      </c>
      <c r="F11" s="14">
        <f>Parâmetros!$C$30*('Modelo ajustado'!$C$14*E11-'Modelo ajustado'!$C$17)-(Parâmetros!$C$25*D11+Parâmetros!$C$25*(Parâmetros!$C$23+Parâmetros!$C$24)+Parâmetros!$C$26)</f>
        <v>7463.8155199034081</v>
      </c>
      <c r="G11" s="14">
        <f>Parâmetros!$C$30*('Modelo ajustado'!$C$14*Parâmetros!$C$21-'Modelo ajustado'!$C$17)-(Parâmetros!$C$25*Parâmetros!$C$22+Parâmetros!$C$25*(Parâmetros!$C$23+Parâmetros!$C$24)+Parâmetros!$C$26)</f>
        <v>6484.5600000000013</v>
      </c>
      <c r="H11" s="14">
        <f t="shared" si="1"/>
        <v>979.25551990340682</v>
      </c>
    </row>
    <row r="13" spans="1:8" ht="25.5" x14ac:dyDescent="0.25">
      <c r="B13" s="4" t="s">
        <v>209</v>
      </c>
      <c r="C13" s="4" t="s">
        <v>210</v>
      </c>
      <c r="D13" s="4" t="s">
        <v>205</v>
      </c>
      <c r="E13" s="4" t="s">
        <v>206</v>
      </c>
    </row>
    <row r="14" spans="1:8" x14ac:dyDescent="0.25">
      <c r="B14" s="14">
        <f>'Modelo ajustado'!$C$14*C14</f>
        <v>1943.586666666667</v>
      </c>
      <c r="C14" s="27">
        <v>0.8</v>
      </c>
      <c r="D14" s="11">
        <f>-Parâmetros!$C$22/LN(1-Parâmetros!$C$21/Parâmetros!$C$31)*LN(Parâmetros!$C$30*B14*Parâmetros!$C$31/(Parâmetros!$C$25*(-Parâmetros!$C$22/LN(1-Parâmetros!$C$21/Parâmetros!$C$31))))</f>
        <v>295.1988106885899</v>
      </c>
      <c r="E14" s="14">
        <f>Parâmetros!$C$30*(B14*Parâmetros!$C$31*(1-EXP(-D14/(-Parâmetros!$C$22/LN(1-Parâmetros!$C$21/Parâmetros!$C$31))))-'Modelo ajustado'!$C$17)-(Parâmetros!$C$25*D14+Parâmetros!$C$25*(Parâmetros!$C$23+Parâmetros!$C$24)+Parâmetros!$C$26)</f>
        <v>-454.48677538707489</v>
      </c>
    </row>
    <row r="15" spans="1:8" x14ac:dyDescent="0.25">
      <c r="B15" s="14">
        <f>'Modelo ajustado'!$C$14*C15</f>
        <v>2429.4833333333336</v>
      </c>
      <c r="C15" s="27">
        <v>1</v>
      </c>
      <c r="D15" s="11">
        <f>-Parâmetros!$C$22/LN(1-Parâmetros!$C$21/Parâmetros!$C$31)*LN(Parâmetros!$C$30*B15*Parâmetros!$C$31/(Parâmetros!$C$25*(-Parâmetros!$C$22/LN(1-Parâmetros!$C$21/Parâmetros!$C$31))))</f>
        <v>346.70730587056789</v>
      </c>
      <c r="E15" s="14">
        <f>Parâmetros!$C$30*(B15*Parâmetros!$C$31*(1-EXP(-D15/(-Parâmetros!$C$22/LN(1-Parâmetros!$C$21/Parâmetros!$C$31))))-'Modelo ajustado'!$C$17)-(Parâmetros!$C$25*D15+Parâmetros!$C$25*(Parâmetros!$C$23+Parâmetros!$C$24)+Parâmetros!$C$26)</f>
        <v>6556.8469414239116</v>
      </c>
    </row>
    <row r="16" spans="1:8" x14ac:dyDescent="0.25">
      <c r="B16" s="14">
        <f>'Modelo ajustado'!$C$14*C16</f>
        <v>2915.38</v>
      </c>
      <c r="C16" s="27">
        <v>1.2</v>
      </c>
      <c r="D16" s="11">
        <f>-Parâmetros!$C$22/LN(1-Parâmetros!$C$21/Parâmetros!$C$31)*LN(Parâmetros!$C$30*B16*Parâmetros!$C$31/(Parâmetros!$C$25*(-Parâmetros!$C$22/LN(1-Parâmetros!$C$21/Parâmetros!$C$31))))</f>
        <v>388.79281080397487</v>
      </c>
      <c r="E16" s="14">
        <f>Parâmetros!$C$30*(B16*Parâmetros!$C$31*(1-EXP(-D16/(-Parâmetros!$C$22/LN(1-Parâmetros!$C$21/Parâmetros!$C$31))))-'Modelo ajustado'!$C$17)-(Parâmetros!$C$25*D16+Parâmetros!$C$25*(Parâmetros!$C$23+Parâmetros!$C$24)+Parâmetros!$C$26)</f>
        <v>13992.215219420585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Parâmetros</vt:lpstr>
      <vt:lpstr>Modelo ajustado</vt:lpstr>
      <vt:lpstr>Derivadas</vt:lpstr>
      <vt:lpstr>Otimização</vt:lpstr>
      <vt:lpstr>Sensibilidade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Cliente</cp:lastModifiedBy>
  <cp:revision>1</cp:revision>
  <dcterms:created xsi:type="dcterms:W3CDTF">2026-10-23T21:53:03Z</dcterms:created>
  <dcterms:modified xsi:type="dcterms:W3CDTF">2026-10-23T22:38:24Z</dcterms:modified>
  <dc:language>en-US</dc:language>
</cp:coreProperties>
</file>