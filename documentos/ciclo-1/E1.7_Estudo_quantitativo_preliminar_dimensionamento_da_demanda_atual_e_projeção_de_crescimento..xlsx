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4"/>
    <sheet state="visible" name="1. Dimensionamento" sheetId="2" r:id="rId5"/>
    <sheet state="visible" name="2. Projeção" sheetId="3" r:id="rId6"/>
    <sheet state="visible" name="3. Custo do Problema" sheetId="4" r:id="rId7"/>
    <sheet state="visible" name="4. Custo da Solução" sheetId="5" r:id="rId8"/>
    <sheet state="visible" name="5. Fluxo de Caixa" sheetId="6" r:id="rId9"/>
    <sheet state="visible" name="6. Indicadores" sheetId="7" r:id="rId10"/>
  </sheets>
  <definedNames/>
  <calcPr/>
  <extLst>
    <ext uri="GoogleSheetsCustomDataVersion2">
      <go:sheetsCustomData xmlns:go="http://customooxmlschemas.google.com/" r:id="rId11" roundtripDataChecksum="/bOJx4mUWnTvHLCUZl9edLjd9eJhwM8h5M3l9rkoG7A="/>
    </ext>
  </extLst>
</workbook>
</file>

<file path=xl/sharedStrings.xml><?xml version="1.0" encoding="utf-8"?>
<sst xmlns="http://schemas.openxmlformats.org/spreadsheetml/2006/main" count="165" uniqueCount="154">
  <si>
    <t>3. CUSTO MENSAL DO PROBLEMA</t>
  </si>
  <si>
    <t>ESTUDO QUANTITATIVO E ECONÔMICO — PLANILHA-MODELO</t>
  </si>
  <si>
    <t>1. DIMENSIONAMENTO DO PROBLEMA HOJE</t>
  </si>
  <si>
    <t>2. PROJEÇÃO DE CRESCIMENTO — 24 MESES</t>
  </si>
  <si>
    <t>Traduza em dinheiro o tempo consumido e as perdas causadas pela forma atual de registro.</t>
  </si>
  <si>
    <t>Compare o crescimento linear e o exponencial. Escolha o cenário que a equipe considera realista e justifique a escolha.</t>
  </si>
  <si>
    <t>Quantifique a operação atual da organização. Preencha as células amarelas com dados levantados na sessão de descoberta e no dossiê do caso.</t>
  </si>
  <si>
    <t>Custo-hora médio da equipe da organização</t>
  </si>
  <si>
    <t>Taxa de crescimento mensal (exponencial)</t>
  </si>
  <si>
    <t>Indicador</t>
  </si>
  <si>
    <t>Projeto Integrador Semestral 2026/2 — Curso de Engenharia de Software — Campus Ceres</t>
  </si>
  <si>
    <t>COMO USAR ESTA PLANILHA</t>
  </si>
  <si>
    <t>Preencha somente as células com fundo amarelo e texto em azul. Todas as demais contêm fórmulas e recalculam sozinhas.</t>
  </si>
  <si>
    <t>Os valores já preenchidos são um EXEMPLO construído com dados plausíveis do Instituto Semear. Substitua-os pelos números levantados pela sua equipe na sessão de descoberta.</t>
  </si>
  <si>
    <t>Toda premissa adotada deve ser justificada na coluna de observação, indicando a fonte: entrevista, contagem na sessão, documento do caso ou estimativa da equipe.</t>
  </si>
  <si>
    <t>Valor</t>
  </si>
  <si>
    <t>LEGENDA DE CORES</t>
  </si>
  <si>
    <t>Unidade</t>
  </si>
  <si>
    <t>Fonte / observação</t>
  </si>
  <si>
    <t>Texto azul sobre fundo amarelo</t>
  </si>
  <si>
    <t>Famílias cadastradas</t>
  </si>
  <si>
    <t>Estimativa a partir do salário informado pela coordenação, com encargos</t>
  </si>
  <si>
    <t>valor digitado pela equipe — é aqui que você escreve</t>
  </si>
  <si>
    <t>Texto preto</t>
  </si>
  <si>
    <t>fórmula — não altere</t>
  </si>
  <si>
    <t>Texto verde</t>
  </si>
  <si>
    <t>Horas operacionais consumidas por mês (aba 1)</t>
  </si>
  <si>
    <t>valor trazido de outra aba — não altere</t>
  </si>
  <si>
    <t>ORDEM DE PREENCHIMENTO</t>
  </si>
  <si>
    <t>famílias</t>
  </si>
  <si>
    <t>1. Dimensionamento</t>
  </si>
  <si>
    <t>quantifique o problema como ele é hoje</t>
  </si>
  <si>
    <t>2. Projeção</t>
  </si>
  <si>
    <t>estime como o volume cresce nos próximos 24 meses</t>
  </si>
  <si>
    <t>Contagem na planilha CadastroFamilias, e dossiê seção 2</t>
  </si>
  <si>
    <t>3. Custo do Problema</t>
  </si>
  <si>
    <t>traduza o problema em dinheiro por mês</t>
  </si>
  <si>
    <t>4. Custo da Solução</t>
  </si>
  <si>
    <t>Participantes ativos</t>
  </si>
  <si>
    <t>estime o que custa construir e manter a solução</t>
  </si>
  <si>
    <t>5. Fluxo de Caixa</t>
  </si>
  <si>
    <t>confronte benefício e custo mês a mês</t>
  </si>
  <si>
    <t>6. Indicadores</t>
  </si>
  <si>
    <t>leia o valor presente líquido e o prazo de retorno</t>
  </si>
  <si>
    <t>pessoas</t>
  </si>
  <si>
    <t>ONDE ESTE ESTUDO É COBRADO</t>
  </si>
  <si>
    <t>Ciclo 1 — entrega em 20/09/2026</t>
  </si>
  <si>
    <t>abas 1 e 2 preenchidas (dimensionamento e projeção)</t>
  </si>
  <si>
    <t>Contagem na planilha Participantes, e dossiê seção 2</t>
  </si>
  <si>
    <t>Ciclo 2 — entrega em 25/10/2026</t>
  </si>
  <si>
    <t>abas 3 e 4 preenchidas (custo do problema e da solução)</t>
  </si>
  <si>
    <t>Ciclo 3 — entrega em 29/11/2026</t>
  </si>
  <si>
    <t>abas 5 e 6 preenchidas e estudo redigido em linguagem acessível</t>
  </si>
  <si>
    <t>Acréscimo mensal absoluto (linear)</t>
  </si>
  <si>
    <t>Componente do custo</t>
  </si>
  <si>
    <t>Oficinas ofertadas por semana</t>
  </si>
  <si>
    <t>Valor mensal</t>
  </si>
  <si>
    <t>Origem</t>
  </si>
  <si>
    <t>oficinas</t>
  </si>
  <si>
    <t>Observação</t>
  </si>
  <si>
    <t>Planilha Oficinas, e dossiê seção 2</t>
  </si>
  <si>
    <t>Custo do tempo operacional</t>
  </si>
  <si>
    <t>Participantes no mês 0 (aba 1)</t>
  </si>
  <si>
    <t>Encontros realizados por mês</t>
  </si>
  <si>
    <t>encontros</t>
  </si>
  <si>
    <t xml:space="preserve">12 oficinas x 4 semanas (Declaração do Cleber Nunes, E1.2) 
</t>
  </si>
  <si>
    <t>Registros de frequência por mês</t>
  </si>
  <si>
    <t>registros</t>
  </si>
  <si>
    <t>Contagem real: 2.239 registros válidos (2.256 linhas - 17 linhas de recado) na planilha Frequencia, cobrindo fev/2025 a dez/2025 (11 meses) = 203,5/mês, arredondado.</t>
  </si>
  <si>
    <t>Tempo para registrar uma chamada em papel</t>
  </si>
  <si>
    <t>minutos</t>
  </si>
  <si>
    <t>Cronometrado na sessão da semana 4</t>
  </si>
  <si>
    <t>Calculado</t>
  </si>
  <si>
    <t>Tempo para transcrever a chamada para a planilha</t>
  </si>
  <si>
    <t>Horas x custo-hora</t>
  </si>
  <si>
    <t>Retrabalho por informação perdida ou duplicada</t>
  </si>
  <si>
    <t>Cronometrado na sessão</t>
  </si>
  <si>
    <t>Estimado</t>
  </si>
  <si>
    <t>Justifique a estimativa com base nas evidências do caso</t>
  </si>
  <si>
    <t>Tempo para localizar um histórico de participante</t>
  </si>
  <si>
    <t>Perdas em prestação de contas e captação</t>
  </si>
  <si>
    <t>Recursos não obtidos por falta de comprovação</t>
  </si>
  <si>
    <t>Materiais e impressão de fichas</t>
  </si>
  <si>
    <t>Informado</t>
  </si>
  <si>
    <t>Informado pela organização</t>
  </si>
  <si>
    <t>Consultas a histórico por mês</t>
  </si>
  <si>
    <t>CUSTO TOTAL DO PROBLEMA POR MÊS</t>
  </si>
  <si>
    <t>Cenário adotado pela equipe: Linear. Justificativa: o histórico real de entradas (planilha Participantes, 2023–2026) mostra um ritmo de crescimento de ~55-60 novos participantes/ano após 2024, logo o cenário linear se aplica com maior consistência, ao contrário do exponencial, que  seria inconsistente com a capacidade fixa de vagas das 12 oficinas e infraestrutura limitada.</t>
  </si>
  <si>
    <t>consultas</t>
  </si>
  <si>
    <t>Estimativa da coordenação</t>
  </si>
  <si>
    <t>Horas mensais na prestação de contas</t>
  </si>
  <si>
    <t>Mês</t>
  </si>
  <si>
    <t>horas</t>
  </si>
  <si>
    <t>Participantes (linear)</t>
  </si>
  <si>
    <t xml:space="preserve">Derivado do Dossiê: "passa três dias somando presença" por trimestre (3 dias x 8h = 24h/trimestre) / 3 = 8h/mês, coexistindo com demias 12h/semana transferindo registros para a planilha (12h x 4 semanas = 48h/mês) registrados pelo relato na Sessão de descoberta (07 e 11/09/2026), Bloco C.4: coordenação </t>
  </si>
  <si>
    <t>Participantes (exponencial)</t>
  </si>
  <si>
    <t>Registros de frequência/mês</t>
  </si>
  <si>
    <t>Doações registradas por mês</t>
  </si>
  <si>
    <t>Planilha Doacoes, após fazer a média entre as 160 doações válidas na planilha Doacoes, de jan/2024 a dez/2026 (36 meses) = 4,4/mês, arredondado.</t>
  </si>
  <si>
    <t>Encaminhamentos por mês</t>
  </si>
  <si>
    <t>Contagem real: 95 encaminhamentos válidos na planilha Encaminhamentos, de jan/2024 a dez/2026 (33 meses) = 2,9/mês, arredondado.</t>
  </si>
  <si>
    <t>TEMPO OPERACIONAL CONSUMIDO POR MÊS</t>
  </si>
  <si>
    <t>Componente</t>
  </si>
  <si>
    <t>Cálculo</t>
  </si>
  <si>
    <t>Horas/mês</t>
  </si>
  <si>
    <t>Registro de chamadas em papel</t>
  </si>
  <si>
    <t>Percentual do problema que a solução elimina</t>
  </si>
  <si>
    <t>registros/mês x minutos por chamada / 60</t>
  </si>
  <si>
    <t>Seja conservador e justifique: nem todo custo desaparece</t>
  </si>
  <si>
    <t>BENEFÍCIO MENSAL ESPERADO</t>
  </si>
  <si>
    <t>Transcrição para a planilha</t>
  </si>
  <si>
    <t>registros/mês x minutos de transcrição / 60</t>
  </si>
  <si>
    <t>Busca de histórico</t>
  </si>
  <si>
    <t>consultas/mês x minutos por busca / 60</t>
  </si>
  <si>
    <t>Prestação de contas</t>
  </si>
  <si>
    <t>horas informadas pela coordenação</t>
  </si>
  <si>
    <t>TOTAL DE HORAS POR MÊS</t>
  </si>
  <si>
    <t>4. CUSTO DE CONSTRUÇÃO E DE OPERAÇÃO DA SOLUÇÃO</t>
  </si>
  <si>
    <t>Estime o esforço de construção e o custo recorrente de manter a solução funcionando.</t>
  </si>
  <si>
    <t>Item de investimento (uma única vez)</t>
  </si>
  <si>
    <t>Quantidade</t>
  </si>
  <si>
    <t>Valor unitário</t>
  </si>
  <si>
    <t>Total</t>
  </si>
  <si>
    <t>Horas de desenvolvimento</t>
  </si>
  <si>
    <t>5. FLUXO DE CAIXA — 24 MESES</t>
  </si>
  <si>
    <t>O mês 0 concentra o investimento. A partir do mês 1, entra o benefício e sai o custo recorrente.</t>
  </si>
  <si>
    <t>Benefício</t>
  </si>
  <si>
    <t>Custo recorrente</t>
  </si>
  <si>
    <t>Investimento</t>
  </si>
  <si>
    <t>Fluxo do mês</t>
  </si>
  <si>
    <t>Fluxo acumulado</t>
  </si>
  <si>
    <t>Horas de levantamento e modelagem</t>
  </si>
  <si>
    <t>Treinamento da equipe da organização</t>
  </si>
  <si>
    <t>Equipamento e instalação</t>
  </si>
  <si>
    <t>INVESTIMENTO TOTAL</t>
  </si>
  <si>
    <t>Custo recorrente (por mês)</t>
  </si>
  <si>
    <t>Hospedagem e serviços</t>
  </si>
  <si>
    <t>Manutenção e suporte (horas)</t>
  </si>
  <si>
    <t>Energia e conectividade adicional</t>
  </si>
  <si>
    <t>CUSTO RECORRENTE MENSAL</t>
  </si>
  <si>
    <t>6. INDICADORES DE VIABILIDADE</t>
  </si>
  <si>
    <t>Leitura final do estudo. Estes números devem ser explicados em linguagem acessível na devolutiva à organização.</t>
  </si>
  <si>
    <t>Taxa de desconto mensal</t>
  </si>
  <si>
    <t>Custo de oportunidade mensal adotado pela equipe — justifique a escolha</t>
  </si>
  <si>
    <t>Valor presente líquido (VPL) em 24 meses</t>
  </si>
  <si>
    <t>Positivo indica que a solução se paga dentro do horizonte analisado</t>
  </si>
  <si>
    <t>Taxa interna de retorno mensal (TIR)</t>
  </si>
  <si>
    <t>Compare com a taxa de desconto adotada</t>
  </si>
  <si>
    <t>Prazo de retorno (payback simples, em meses)</t>
  </si>
  <si>
    <t>Mês em que o fluxo acumulado passa a ser positivo</t>
  </si>
  <si>
    <t>Benefício acumulado em 24 meses</t>
  </si>
  <si>
    <t>Resultado acumulado ao final do horizonte</t>
  </si>
  <si>
    <t>LEITURA DO RESULTADO</t>
  </si>
  <si>
    <t>Escreva aqui, em no máximo cinco linhas e sem jargão técnico, o que estes números significam para o Instituto Semear: ____________________________________________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</si>
</sst>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R$ #,##0.00;[Red](R$ #,##0.00);-"/>
    <numFmt numFmtId="165" formatCode="#,##0;(#,##0);-"/>
    <numFmt numFmtId="166" formatCode="0.0%"/>
    <numFmt numFmtId="167" formatCode="#,##0.0;(#,##0.0);-"/>
  </numFmts>
  <fonts count="10">
    <font>
      <sz val="11.0"/>
      <color theme="1"/>
      <name val="Calibri"/>
      <scheme val="minor"/>
    </font>
    <font>
      <b/>
      <sz val="13.0"/>
      <color rgb="FF1F3864"/>
      <name val="Arial"/>
    </font>
    <font>
      <i/>
      <sz val="9.0"/>
      <color rgb="FF555555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rgb="FF1F3864"/>
      <name val="Arial"/>
    </font>
    <font>
      <sz val="10.0"/>
      <color rgb="FF0000FF"/>
      <name val="Arial"/>
    </font>
    <font>
      <sz val="10.0"/>
      <color rgb="FF008000"/>
      <name val="Arial"/>
    </font>
    <font>
      <b/>
      <sz val="10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CE4F2"/>
        <bgColor rgb="FFDCE4F2"/>
      </patternFill>
    </fill>
  </fills>
  <borders count="3">
    <border/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1" fillId="3" fontId="6" numFmtId="164" xfId="0" applyBorder="1" applyFill="1" applyFont="1" applyNumberFormat="1"/>
    <xf borderId="2" fillId="3" fontId="6" numFmtId="0" xfId="0" applyBorder="1" applyFill="1" applyFont="1"/>
    <xf borderId="1" fillId="0" fontId="3" numFmtId="0" xfId="0" applyAlignment="1" applyBorder="1" applyFont="1">
      <alignment vertical="top"/>
    </xf>
    <xf borderId="1" fillId="3" fontId="6" numFmtId="0" xfId="0" applyBorder="1" applyFill="1" applyFont="1"/>
    <xf borderId="0" fillId="0" fontId="7" numFmtId="0" xfId="0" applyFont="1"/>
    <xf borderId="1" fillId="3" fontId="6" numFmtId="165" xfId="0" applyAlignment="1" applyBorder="1" applyFill="1" applyFont="1" applyNumberFormat="1">
      <alignment vertical="top"/>
    </xf>
    <xf borderId="1" fillId="3" fontId="6" numFmtId="0" xfId="0" applyAlignment="1" applyBorder="1" applyFill="1" applyFont="1">
      <alignment readingOrder="0" vertical="top"/>
    </xf>
    <xf borderId="1" fillId="3" fontId="6" numFmtId="165" xfId="0" applyAlignment="1" applyBorder="1" applyFill="1" applyFont="1" applyNumberFormat="1">
      <alignment readingOrder="0" vertical="top"/>
    </xf>
    <xf borderId="1" fillId="3" fontId="6" numFmtId="166" xfId="0" applyAlignment="1" applyBorder="1" applyFill="1" applyFont="1" applyNumberFormat="1">
      <alignment readingOrder="0"/>
    </xf>
    <xf borderId="1" fillId="0" fontId="7" numFmtId="167" xfId="0" applyBorder="1" applyFont="1" applyNumberFormat="1"/>
    <xf borderId="1" fillId="3" fontId="6" numFmtId="0" xfId="0" applyAlignment="1" applyBorder="1" applyFill="1" applyFont="1">
      <alignment readingOrder="0" shrinkToFit="0" vertical="top" wrapText="1"/>
    </xf>
    <xf borderId="1" fillId="3" fontId="6" numFmtId="165" xfId="0" applyAlignment="1" applyBorder="1" applyFill="1" applyFont="1" applyNumberFormat="1">
      <alignment readingOrder="0"/>
    </xf>
    <xf borderId="1" fillId="0" fontId="3" numFmtId="164" xfId="0" applyBorder="1" applyFont="1" applyNumberFormat="1"/>
    <xf borderId="1" fillId="3" fontId="6" numFmtId="0" xfId="0" applyAlignment="1" applyBorder="1" applyFill="1" applyFont="1">
      <alignment shrinkToFit="0" vertical="top" wrapText="1"/>
    </xf>
    <xf borderId="1" fillId="0" fontId="3" numFmtId="0" xfId="0" applyBorder="1" applyFont="1"/>
    <xf borderId="1" fillId="0" fontId="7" numFmtId="165" xfId="0" applyBorder="1" applyFont="1" applyNumberFormat="1"/>
    <xf borderId="1" fillId="3" fontId="6" numFmtId="0" xfId="0" applyAlignment="1" applyBorder="1" applyFill="1" applyFont="1">
      <alignment readingOrder="0" shrinkToFit="0" wrapText="1"/>
    </xf>
    <xf borderId="1" fillId="4" fontId="8" numFmtId="164" xfId="0" applyBorder="1" applyFill="1" applyFont="1" applyNumberFormat="1"/>
    <xf borderId="1" fillId="0" fontId="3" numFmtId="165" xfId="0" applyBorder="1" applyFont="1" applyNumberFormat="1"/>
    <xf borderId="1" fillId="3" fontId="6" numFmtId="166" xfId="0" applyBorder="1" applyFill="1" applyFont="1" applyNumberFormat="1"/>
    <xf borderId="1" fillId="0" fontId="2" numFmtId="0" xfId="0" applyBorder="1" applyFont="1"/>
    <xf borderId="1" fillId="0" fontId="3" numFmtId="167" xfId="0" applyBorder="1" applyFont="1" applyNumberFormat="1"/>
    <xf borderId="1" fillId="0" fontId="9" numFmtId="0" xfId="0" applyBorder="1" applyFont="1"/>
    <xf borderId="1" fillId="4" fontId="8" numFmtId="167" xfId="0" applyBorder="1" applyFill="1" applyFont="1" applyNumberFormat="1"/>
    <xf borderId="1" fillId="3" fontId="6" numFmtId="167" xfId="0" applyBorder="1" applyFill="1" applyFont="1" applyNumberFormat="1"/>
    <xf borderId="1" fillId="0" fontId="7" numFmtId="164" xfId="0" applyBorder="1" applyFont="1" applyNumberFormat="1"/>
    <xf borderId="1" fillId="0" fontId="3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2.0"/>
    <col customWidth="1" min="3" max="5" width="22.0"/>
    <col customWidth="1" min="6" max="26" width="8.71"/>
  </cols>
  <sheetData>
    <row r="1">
      <c r="A1" s="1" t="s">
        <v>1</v>
      </c>
    </row>
    <row r="2">
      <c r="A2" s="2" t="s">
        <v>10</v>
      </c>
    </row>
    <row r="4">
      <c r="B4" s="3"/>
      <c r="C4" s="3"/>
    </row>
    <row r="5">
      <c r="B5" s="5" t="s">
        <v>11</v>
      </c>
      <c r="C5" s="3"/>
    </row>
    <row r="6">
      <c r="B6" s="3" t="s">
        <v>12</v>
      </c>
      <c r="C6" s="3"/>
    </row>
    <row r="7">
      <c r="B7" s="3" t="s">
        <v>13</v>
      </c>
      <c r="C7" s="3"/>
    </row>
    <row r="8">
      <c r="B8" s="3" t="s">
        <v>14</v>
      </c>
      <c r="C8" s="3"/>
    </row>
    <row r="9">
      <c r="B9" s="3"/>
      <c r="C9" s="3"/>
    </row>
    <row r="10">
      <c r="B10" s="5" t="s">
        <v>16</v>
      </c>
      <c r="C10" s="3"/>
    </row>
    <row r="11">
      <c r="B11" s="7" t="s">
        <v>19</v>
      </c>
      <c r="C11" s="3" t="s">
        <v>22</v>
      </c>
    </row>
    <row r="12">
      <c r="B12" s="3" t="s">
        <v>23</v>
      </c>
      <c r="C12" s="3" t="s">
        <v>24</v>
      </c>
    </row>
    <row r="13">
      <c r="B13" s="10" t="s">
        <v>25</v>
      </c>
      <c r="C13" s="3" t="s">
        <v>27</v>
      </c>
    </row>
    <row r="14">
      <c r="B14" s="3"/>
      <c r="C14" s="3"/>
    </row>
    <row r="15">
      <c r="B15" s="5" t="s">
        <v>28</v>
      </c>
      <c r="C15" s="3"/>
    </row>
    <row r="16">
      <c r="B16" s="3" t="s">
        <v>30</v>
      </c>
      <c r="C16" s="3" t="s">
        <v>31</v>
      </c>
    </row>
    <row r="17">
      <c r="B17" s="3" t="s">
        <v>32</v>
      </c>
      <c r="C17" s="3" t="s">
        <v>33</v>
      </c>
    </row>
    <row r="18">
      <c r="B18" s="3" t="s">
        <v>35</v>
      </c>
      <c r="C18" s="3" t="s">
        <v>36</v>
      </c>
    </row>
    <row r="19">
      <c r="B19" s="3" t="s">
        <v>37</v>
      </c>
      <c r="C19" s="3" t="s">
        <v>39</v>
      </c>
    </row>
    <row r="20">
      <c r="B20" s="3" t="s">
        <v>40</v>
      </c>
      <c r="C20" s="3" t="s">
        <v>41</v>
      </c>
    </row>
    <row r="21" ht="15.75" customHeight="1">
      <c r="B21" s="3" t="s">
        <v>42</v>
      </c>
      <c r="C21" s="3" t="s">
        <v>43</v>
      </c>
    </row>
    <row r="22" ht="15.75" customHeight="1">
      <c r="B22" s="3"/>
      <c r="C22" s="3"/>
    </row>
    <row r="23" ht="15.75" customHeight="1">
      <c r="B23" s="5" t="s">
        <v>45</v>
      </c>
      <c r="C23" s="3"/>
    </row>
    <row r="24" ht="15.75" customHeight="1">
      <c r="B24" s="3" t="s">
        <v>46</v>
      </c>
      <c r="C24" s="3" t="s">
        <v>47</v>
      </c>
    </row>
    <row r="25" ht="15.75" customHeight="1">
      <c r="B25" s="3" t="s">
        <v>49</v>
      </c>
      <c r="C25" s="3" t="s">
        <v>50</v>
      </c>
    </row>
    <row r="26" ht="15.75" customHeight="1">
      <c r="B26" s="3" t="s">
        <v>51</v>
      </c>
      <c r="C26" s="3" t="s">
        <v>52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0"/>
    <col customWidth="1" min="2" max="2" width="52.0"/>
    <col customWidth="1" min="3" max="3" width="16.0"/>
    <col customWidth="1" min="4" max="4" width="14.0"/>
    <col customWidth="1" min="5" max="5" width="46.0"/>
    <col customWidth="1" min="6" max="26" width="8.71"/>
  </cols>
  <sheetData>
    <row r="1">
      <c r="A1" s="1" t="s">
        <v>2</v>
      </c>
    </row>
    <row r="2">
      <c r="A2" s="2" t="s">
        <v>6</v>
      </c>
    </row>
    <row r="4">
      <c r="B4" s="4" t="s">
        <v>9</v>
      </c>
      <c r="C4" s="4" t="s">
        <v>15</v>
      </c>
      <c r="D4" s="4" t="s">
        <v>17</v>
      </c>
      <c r="E4" s="4" t="s">
        <v>18</v>
      </c>
    </row>
    <row r="5">
      <c r="B5" s="8" t="s">
        <v>20</v>
      </c>
      <c r="C5" s="11">
        <v>140.0</v>
      </c>
      <c r="D5" s="8" t="s">
        <v>29</v>
      </c>
      <c r="E5" s="12" t="s">
        <v>34</v>
      </c>
    </row>
    <row r="6">
      <c r="B6" s="8" t="s">
        <v>38</v>
      </c>
      <c r="C6" s="13">
        <v>225.0</v>
      </c>
      <c r="D6" s="8" t="s">
        <v>44</v>
      </c>
      <c r="E6" s="16" t="s">
        <v>48</v>
      </c>
    </row>
    <row r="7">
      <c r="B7" s="8" t="s">
        <v>55</v>
      </c>
      <c r="C7" s="11">
        <v>12.0</v>
      </c>
      <c r="D7" s="8" t="s">
        <v>58</v>
      </c>
      <c r="E7" s="12" t="s">
        <v>60</v>
      </c>
    </row>
    <row r="8" ht="31.5" customHeight="1">
      <c r="B8" s="8" t="s">
        <v>63</v>
      </c>
      <c r="C8" s="11">
        <v>48.0</v>
      </c>
      <c r="D8" s="8" t="s">
        <v>64</v>
      </c>
      <c r="E8" s="16" t="s">
        <v>65</v>
      </c>
    </row>
    <row r="9">
      <c r="B9" s="8" t="s">
        <v>66</v>
      </c>
      <c r="C9" s="13">
        <v>204.0</v>
      </c>
      <c r="D9" s="8" t="s">
        <v>67</v>
      </c>
      <c r="E9" s="16" t="s">
        <v>68</v>
      </c>
    </row>
    <row r="10">
      <c r="B10" s="8" t="s">
        <v>69</v>
      </c>
      <c r="C10" s="11">
        <v>6.0</v>
      </c>
      <c r="D10" s="8" t="s">
        <v>70</v>
      </c>
      <c r="E10" s="19" t="s">
        <v>71</v>
      </c>
    </row>
    <row r="11">
      <c r="B11" s="8" t="s">
        <v>73</v>
      </c>
      <c r="C11" s="11">
        <v>9.0</v>
      </c>
      <c r="D11" s="8" t="s">
        <v>70</v>
      </c>
      <c r="E11" s="19" t="s">
        <v>76</v>
      </c>
    </row>
    <row r="12">
      <c r="B12" s="8" t="s">
        <v>79</v>
      </c>
      <c r="C12" s="11">
        <v>14.0</v>
      </c>
      <c r="D12" s="8" t="s">
        <v>70</v>
      </c>
      <c r="E12" s="19" t="s">
        <v>76</v>
      </c>
    </row>
    <row r="13">
      <c r="B13" s="8" t="s">
        <v>85</v>
      </c>
      <c r="C13" s="11">
        <v>35.0</v>
      </c>
      <c r="D13" s="8" t="s">
        <v>88</v>
      </c>
      <c r="E13" s="19" t="s">
        <v>89</v>
      </c>
    </row>
    <row r="14">
      <c r="B14" s="8" t="s">
        <v>90</v>
      </c>
      <c r="C14" s="13">
        <v>56.0</v>
      </c>
      <c r="D14" s="8" t="s">
        <v>92</v>
      </c>
      <c r="E14" s="16" t="s">
        <v>94</v>
      </c>
    </row>
    <row r="15">
      <c r="B15" s="8" t="s">
        <v>97</v>
      </c>
      <c r="C15" s="13">
        <v>4.0</v>
      </c>
      <c r="D15" s="8" t="s">
        <v>67</v>
      </c>
      <c r="E15" s="16" t="s">
        <v>98</v>
      </c>
    </row>
    <row r="16">
      <c r="B16" s="8" t="s">
        <v>99</v>
      </c>
      <c r="C16" s="13">
        <v>3.0</v>
      </c>
      <c r="D16" s="8" t="s">
        <v>67</v>
      </c>
      <c r="E16" s="16" t="s">
        <v>100</v>
      </c>
    </row>
    <row r="18">
      <c r="B18" s="5" t="s">
        <v>101</v>
      </c>
    </row>
    <row r="19">
      <c r="B19" s="4" t="s">
        <v>102</v>
      </c>
      <c r="C19" s="4" t="s">
        <v>103</v>
      </c>
      <c r="D19" s="4" t="s">
        <v>104</v>
      </c>
      <c r="E19" s="4"/>
    </row>
    <row r="20">
      <c r="B20" s="20" t="s">
        <v>105</v>
      </c>
      <c r="C20" s="26" t="s">
        <v>107</v>
      </c>
      <c r="D20" s="27">
        <f>C9*C10/60</f>
        <v>20.4</v>
      </c>
    </row>
    <row r="21" ht="15.75" customHeight="1">
      <c r="B21" s="20" t="s">
        <v>110</v>
      </c>
      <c r="C21" s="26" t="s">
        <v>111</v>
      </c>
      <c r="D21" s="27">
        <f>C9*C11/60</f>
        <v>30.6</v>
      </c>
    </row>
    <row r="22" ht="15.75" customHeight="1">
      <c r="B22" s="20" t="s">
        <v>112</v>
      </c>
      <c r="C22" s="26" t="s">
        <v>113</v>
      </c>
      <c r="D22" s="27">
        <f>C13*C12/60</f>
        <v>8.166666667</v>
      </c>
    </row>
    <row r="23" ht="15.75" customHeight="1">
      <c r="B23" s="20" t="s">
        <v>114</v>
      </c>
      <c r="C23" s="26" t="s">
        <v>115</v>
      </c>
      <c r="D23" s="27">
        <f>C14</f>
        <v>56</v>
      </c>
    </row>
    <row r="24" ht="15.75" customHeight="1">
      <c r="B24" s="5" t="s">
        <v>116</v>
      </c>
      <c r="D24" s="29">
        <f>SUM(D20:D23)</f>
        <v>115.1666667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0"/>
    <col customWidth="1" min="2" max="2" width="30.0"/>
    <col customWidth="1" min="3" max="3" width="27.14"/>
    <col customWidth="1" min="4" max="5" width="18.0"/>
    <col customWidth="1" min="6" max="6" width="40.0"/>
    <col customWidth="1" min="7" max="26" width="8.71"/>
  </cols>
  <sheetData>
    <row r="1">
      <c r="A1" s="1" t="s">
        <v>3</v>
      </c>
    </row>
    <row r="2">
      <c r="A2" s="2" t="s">
        <v>5</v>
      </c>
    </row>
    <row r="4">
      <c r="B4" s="3" t="s">
        <v>8</v>
      </c>
      <c r="C4" s="14">
        <v>0.028</v>
      </c>
    </row>
    <row r="5">
      <c r="B5" s="3" t="s">
        <v>53</v>
      </c>
      <c r="C5" s="17">
        <v>5.0</v>
      </c>
    </row>
    <row r="6">
      <c r="B6" s="3" t="s">
        <v>62</v>
      </c>
      <c r="C6" s="21">
        <f>'1. Dimensionamento'!C6</f>
        <v>225</v>
      </c>
    </row>
    <row r="7">
      <c r="C7" s="22" t="s">
        <v>87</v>
      </c>
    </row>
    <row r="9">
      <c r="B9" s="4" t="s">
        <v>91</v>
      </c>
      <c r="C9" s="4" t="s">
        <v>93</v>
      </c>
      <c r="D9" s="4" t="s">
        <v>95</v>
      </c>
      <c r="E9" s="4" t="s">
        <v>96</v>
      </c>
      <c r="F9" s="4" t="s">
        <v>59</v>
      </c>
    </row>
    <row r="10">
      <c r="B10" s="20">
        <v>0.0</v>
      </c>
      <c r="C10" s="24">
        <f t="shared" ref="C10:D10" si="1">$C$6</f>
        <v>225</v>
      </c>
      <c r="D10" s="24">
        <f t="shared" si="1"/>
        <v>225</v>
      </c>
      <c r="E10" s="24">
        <f>D10*'1. Dimensionamento'!$C$9/'1. Dimensionamento'!$C$6</f>
        <v>204</v>
      </c>
      <c r="F10" s="28"/>
    </row>
    <row r="11">
      <c r="B11" s="20">
        <v>1.0</v>
      </c>
      <c r="C11" s="24">
        <f t="shared" ref="C11:C34" si="2">C10+$C$5</f>
        <v>230</v>
      </c>
      <c r="D11" s="24">
        <f t="shared" ref="D11:D34" si="3">D10*(1+$C$4)</f>
        <v>231.3</v>
      </c>
      <c r="E11" s="24">
        <f>D11*'1. Dimensionamento'!$C$9/'1. Dimensionamento'!$C$6</f>
        <v>209.712</v>
      </c>
      <c r="F11" s="28"/>
    </row>
    <row r="12">
      <c r="B12" s="20">
        <v>2.0</v>
      </c>
      <c r="C12" s="24">
        <f t="shared" si="2"/>
        <v>235</v>
      </c>
      <c r="D12" s="24">
        <f t="shared" si="3"/>
        <v>237.7764</v>
      </c>
      <c r="E12" s="24">
        <f>D12*'1. Dimensionamento'!$C$9/'1. Dimensionamento'!$C$6</f>
        <v>215.583936</v>
      </c>
      <c r="F12" s="28"/>
    </row>
    <row r="13">
      <c r="B13" s="20">
        <v>3.0</v>
      </c>
      <c r="C13" s="24">
        <f t="shared" si="2"/>
        <v>240</v>
      </c>
      <c r="D13" s="24">
        <f t="shared" si="3"/>
        <v>244.4341392</v>
      </c>
      <c r="E13" s="24">
        <f>D13*'1. Dimensionamento'!$C$9/'1. Dimensionamento'!$C$6</f>
        <v>221.6202862</v>
      </c>
      <c r="F13" s="28"/>
    </row>
    <row r="14">
      <c r="B14" s="20">
        <v>4.0</v>
      </c>
      <c r="C14" s="24">
        <f t="shared" si="2"/>
        <v>245</v>
      </c>
      <c r="D14" s="24">
        <f t="shared" si="3"/>
        <v>251.2782951</v>
      </c>
      <c r="E14" s="24">
        <f>D14*'1. Dimensionamento'!$C$9/'1. Dimensionamento'!$C$6</f>
        <v>227.8256542</v>
      </c>
      <c r="F14" s="28"/>
    </row>
    <row r="15">
      <c r="B15" s="20">
        <v>5.0</v>
      </c>
      <c r="C15" s="24">
        <f t="shared" si="2"/>
        <v>250</v>
      </c>
      <c r="D15" s="24">
        <f t="shared" si="3"/>
        <v>258.3140874</v>
      </c>
      <c r="E15" s="24">
        <f>D15*'1. Dimensionamento'!$C$9/'1. Dimensionamento'!$C$6</f>
        <v>234.2047725</v>
      </c>
      <c r="F15" s="28"/>
    </row>
    <row r="16">
      <c r="B16" s="20">
        <v>6.0</v>
      </c>
      <c r="C16" s="24">
        <f t="shared" si="2"/>
        <v>255</v>
      </c>
      <c r="D16" s="24">
        <f t="shared" si="3"/>
        <v>265.5468818</v>
      </c>
      <c r="E16" s="24">
        <f>D16*'1. Dimensionamento'!$C$9/'1. Dimensionamento'!$C$6</f>
        <v>240.7625062</v>
      </c>
      <c r="F16" s="28"/>
    </row>
    <row r="17">
      <c r="B17" s="20">
        <v>7.0</v>
      </c>
      <c r="C17" s="24">
        <f t="shared" si="2"/>
        <v>260</v>
      </c>
      <c r="D17" s="24">
        <f t="shared" si="3"/>
        <v>272.9821945</v>
      </c>
      <c r="E17" s="24">
        <f>D17*'1. Dimensionamento'!$C$9/'1. Dimensionamento'!$C$6</f>
        <v>247.5038563</v>
      </c>
      <c r="F17" s="28"/>
    </row>
    <row r="18">
      <c r="B18" s="20">
        <v>8.0</v>
      </c>
      <c r="C18" s="24">
        <f t="shared" si="2"/>
        <v>265</v>
      </c>
      <c r="D18" s="24">
        <f t="shared" si="3"/>
        <v>280.6256959</v>
      </c>
      <c r="E18" s="24">
        <f>D18*'1. Dimensionamento'!$C$9/'1. Dimensionamento'!$C$6</f>
        <v>254.4339643</v>
      </c>
      <c r="F18" s="28"/>
    </row>
    <row r="19">
      <c r="B19" s="20">
        <v>9.0</v>
      </c>
      <c r="C19" s="24">
        <f t="shared" si="2"/>
        <v>270</v>
      </c>
      <c r="D19" s="24">
        <f t="shared" si="3"/>
        <v>288.4832154</v>
      </c>
      <c r="E19" s="24">
        <f>D19*'1. Dimensionamento'!$C$9/'1. Dimensionamento'!$C$6</f>
        <v>261.5581153</v>
      </c>
      <c r="F19" s="28"/>
    </row>
    <row r="20">
      <c r="B20" s="20">
        <v>10.0</v>
      </c>
      <c r="C20" s="24">
        <f t="shared" si="2"/>
        <v>275</v>
      </c>
      <c r="D20" s="24">
        <f t="shared" si="3"/>
        <v>296.5607455</v>
      </c>
      <c r="E20" s="24">
        <f>D20*'1. Dimensionamento'!$C$9/'1. Dimensionamento'!$C$6</f>
        <v>268.8817426</v>
      </c>
      <c r="F20" s="28"/>
    </row>
    <row r="21" ht="15.75" customHeight="1">
      <c r="B21" s="20">
        <v>11.0</v>
      </c>
      <c r="C21" s="24">
        <f t="shared" si="2"/>
        <v>280</v>
      </c>
      <c r="D21" s="24">
        <f t="shared" si="3"/>
        <v>304.8644463</v>
      </c>
      <c r="E21" s="24">
        <f>D21*'1. Dimensionamento'!$C$9/'1. Dimensionamento'!$C$6</f>
        <v>276.4104313</v>
      </c>
      <c r="F21" s="28"/>
    </row>
    <row r="22" ht="15.75" customHeight="1">
      <c r="B22" s="20">
        <v>12.0</v>
      </c>
      <c r="C22" s="24">
        <f t="shared" si="2"/>
        <v>285</v>
      </c>
      <c r="D22" s="24">
        <f t="shared" si="3"/>
        <v>313.4006508</v>
      </c>
      <c r="E22" s="24">
        <f>D22*'1. Dimensionamento'!$C$9/'1. Dimensionamento'!$C$6</f>
        <v>284.1499234</v>
      </c>
      <c r="F22" s="28"/>
    </row>
    <row r="23" ht="15.75" customHeight="1">
      <c r="B23" s="20">
        <v>13.0</v>
      </c>
      <c r="C23" s="24">
        <f t="shared" si="2"/>
        <v>290</v>
      </c>
      <c r="D23" s="24">
        <f t="shared" si="3"/>
        <v>322.1758691</v>
      </c>
      <c r="E23" s="24">
        <f>D23*'1. Dimensionamento'!$C$9/'1. Dimensionamento'!$C$6</f>
        <v>292.1061213</v>
      </c>
      <c r="F23" s="28"/>
    </row>
    <row r="24" ht="15.75" customHeight="1">
      <c r="B24" s="20">
        <v>14.0</v>
      </c>
      <c r="C24" s="24">
        <f t="shared" si="2"/>
        <v>295</v>
      </c>
      <c r="D24" s="24">
        <f t="shared" si="3"/>
        <v>331.1967934</v>
      </c>
      <c r="E24" s="24">
        <f>D24*'1. Dimensionamento'!$C$9/'1. Dimensionamento'!$C$6</f>
        <v>300.2850927</v>
      </c>
      <c r="F24" s="28"/>
    </row>
    <row r="25" ht="15.75" customHeight="1">
      <c r="B25" s="20">
        <v>15.0</v>
      </c>
      <c r="C25" s="24">
        <f t="shared" si="2"/>
        <v>300</v>
      </c>
      <c r="D25" s="24">
        <f t="shared" si="3"/>
        <v>340.4703036</v>
      </c>
      <c r="E25" s="24">
        <f>D25*'1. Dimensionamento'!$C$9/'1. Dimensionamento'!$C$6</f>
        <v>308.6930753</v>
      </c>
      <c r="F25" s="28"/>
    </row>
    <row r="26" ht="15.75" customHeight="1">
      <c r="B26" s="20">
        <v>16.0</v>
      </c>
      <c r="C26" s="24">
        <f t="shared" si="2"/>
        <v>305</v>
      </c>
      <c r="D26" s="24">
        <f t="shared" si="3"/>
        <v>350.0034721</v>
      </c>
      <c r="E26" s="24">
        <f>D26*'1. Dimensionamento'!$C$9/'1. Dimensionamento'!$C$6</f>
        <v>317.3364814</v>
      </c>
      <c r="F26" s="28"/>
    </row>
    <row r="27" ht="15.75" customHeight="1">
      <c r="B27" s="20">
        <v>17.0</v>
      </c>
      <c r="C27" s="24">
        <f t="shared" si="2"/>
        <v>310</v>
      </c>
      <c r="D27" s="24">
        <f t="shared" si="3"/>
        <v>359.8035693</v>
      </c>
      <c r="E27" s="24">
        <f>D27*'1. Dimensionamento'!$C$9/'1. Dimensionamento'!$C$6</f>
        <v>326.2219029</v>
      </c>
      <c r="F27" s="28"/>
    </row>
    <row r="28" ht="15.75" customHeight="1">
      <c r="B28" s="20">
        <v>18.0</v>
      </c>
      <c r="C28" s="24">
        <f t="shared" si="2"/>
        <v>315</v>
      </c>
      <c r="D28" s="24">
        <f t="shared" si="3"/>
        <v>369.8780693</v>
      </c>
      <c r="E28" s="24">
        <f>D28*'1. Dimensionamento'!$C$9/'1. Dimensionamento'!$C$6</f>
        <v>335.3561161</v>
      </c>
      <c r="F28" s="28"/>
    </row>
    <row r="29" ht="15.75" customHeight="1">
      <c r="B29" s="20">
        <v>19.0</v>
      </c>
      <c r="C29" s="24">
        <f t="shared" si="2"/>
        <v>320</v>
      </c>
      <c r="D29" s="24">
        <f t="shared" si="3"/>
        <v>380.2346552</v>
      </c>
      <c r="E29" s="24">
        <f>D29*'1. Dimensionamento'!$C$9/'1. Dimensionamento'!$C$6</f>
        <v>344.7460874</v>
      </c>
      <c r="F29" s="28"/>
    </row>
    <row r="30" ht="15.75" customHeight="1">
      <c r="B30" s="20">
        <v>20.0</v>
      </c>
      <c r="C30" s="24">
        <f t="shared" si="2"/>
        <v>325</v>
      </c>
      <c r="D30" s="24">
        <f t="shared" si="3"/>
        <v>390.8812255</v>
      </c>
      <c r="E30" s="24">
        <f>D30*'1. Dimensionamento'!$C$9/'1. Dimensionamento'!$C$6</f>
        <v>354.3989778</v>
      </c>
      <c r="F30" s="28"/>
    </row>
    <row r="31" ht="15.75" customHeight="1">
      <c r="B31" s="20">
        <v>21.0</v>
      </c>
      <c r="C31" s="24">
        <f t="shared" si="2"/>
        <v>330</v>
      </c>
      <c r="D31" s="24">
        <f t="shared" si="3"/>
        <v>401.8258999</v>
      </c>
      <c r="E31" s="24">
        <f>D31*'1. Dimensionamento'!$C$9/'1. Dimensionamento'!$C$6</f>
        <v>364.3221492</v>
      </c>
      <c r="F31" s="28"/>
    </row>
    <row r="32" ht="15.75" customHeight="1">
      <c r="B32" s="20">
        <v>22.0</v>
      </c>
      <c r="C32" s="24">
        <f t="shared" si="2"/>
        <v>335</v>
      </c>
      <c r="D32" s="24">
        <f t="shared" si="3"/>
        <v>413.0770251</v>
      </c>
      <c r="E32" s="24">
        <f>D32*'1. Dimensionamento'!$C$9/'1. Dimensionamento'!$C$6</f>
        <v>374.5231694</v>
      </c>
      <c r="F32" s="28"/>
    </row>
    <row r="33" ht="15.75" customHeight="1">
      <c r="B33" s="20">
        <v>23.0</v>
      </c>
      <c r="C33" s="24">
        <f t="shared" si="2"/>
        <v>340</v>
      </c>
      <c r="D33" s="24">
        <f t="shared" si="3"/>
        <v>424.6431818</v>
      </c>
      <c r="E33" s="24">
        <f>D33*'1. Dimensionamento'!$C$9/'1. Dimensionamento'!$C$6</f>
        <v>385.0098181</v>
      </c>
      <c r="F33" s="28"/>
    </row>
    <row r="34" ht="15.75" customHeight="1">
      <c r="B34" s="20">
        <v>24.0</v>
      </c>
      <c r="C34" s="24">
        <f t="shared" si="2"/>
        <v>345</v>
      </c>
      <c r="D34" s="24">
        <f t="shared" si="3"/>
        <v>436.5331909</v>
      </c>
      <c r="E34" s="24">
        <f>D34*'1. Dimensionamento'!$C$9/'1. Dimensionamento'!$C$6</f>
        <v>395.790093</v>
      </c>
      <c r="F34" s="2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0"/>
    <col customWidth="1" min="2" max="2" width="52.0"/>
    <col customWidth="1" min="3" max="4" width="18.0"/>
    <col customWidth="1" min="5" max="5" width="44.0"/>
    <col customWidth="1" min="6" max="26" width="8.71"/>
  </cols>
  <sheetData>
    <row r="1">
      <c r="A1" s="1" t="s">
        <v>0</v>
      </c>
    </row>
    <row r="2">
      <c r="A2" s="2" t="s">
        <v>4</v>
      </c>
    </row>
    <row r="4">
      <c r="B4" s="3" t="s">
        <v>7</v>
      </c>
      <c r="C4" s="6">
        <v>18.5</v>
      </c>
      <c r="E4" s="9" t="s">
        <v>21</v>
      </c>
    </row>
    <row r="5">
      <c r="B5" s="3" t="s">
        <v>26</v>
      </c>
      <c r="C5" s="15">
        <f>'1. Dimensionamento'!D24</f>
        <v>115.1666667</v>
      </c>
    </row>
    <row r="7">
      <c r="B7" s="4" t="s">
        <v>54</v>
      </c>
      <c r="C7" s="4" t="s">
        <v>56</v>
      </c>
      <c r="D7" s="4" t="s">
        <v>57</v>
      </c>
      <c r="E7" s="4" t="s">
        <v>59</v>
      </c>
    </row>
    <row r="8">
      <c r="B8" s="3" t="s">
        <v>61</v>
      </c>
      <c r="C8" s="18">
        <f>C4*C5</f>
        <v>2130.583333</v>
      </c>
      <c r="D8" s="20" t="s">
        <v>72</v>
      </c>
      <c r="E8" s="9" t="s">
        <v>74</v>
      </c>
    </row>
    <row r="9">
      <c r="B9" s="3" t="s">
        <v>75</v>
      </c>
      <c r="C9" s="6">
        <v>320.0</v>
      </c>
      <c r="D9" s="20" t="s">
        <v>77</v>
      </c>
      <c r="E9" s="9" t="s">
        <v>78</v>
      </c>
    </row>
    <row r="10">
      <c r="B10" s="3" t="s">
        <v>80</v>
      </c>
      <c r="C10" s="6">
        <v>450.0</v>
      </c>
      <c r="D10" s="20" t="s">
        <v>77</v>
      </c>
      <c r="E10" s="9" t="s">
        <v>81</v>
      </c>
    </row>
    <row r="11">
      <c r="B11" s="3" t="s">
        <v>82</v>
      </c>
      <c r="C11" s="6">
        <v>95.0</v>
      </c>
      <c r="D11" s="20" t="s">
        <v>83</v>
      </c>
      <c r="E11" s="9" t="s">
        <v>84</v>
      </c>
    </row>
    <row r="12">
      <c r="B12" s="5" t="s">
        <v>86</v>
      </c>
      <c r="C12" s="23">
        <f>SUM(C8:C11)</f>
        <v>2995.583333</v>
      </c>
    </row>
    <row r="14">
      <c r="B14" s="3" t="s">
        <v>106</v>
      </c>
      <c r="C14" s="25">
        <v>0.6</v>
      </c>
      <c r="E14" s="9" t="s">
        <v>108</v>
      </c>
    </row>
    <row r="15">
      <c r="B15" s="5" t="s">
        <v>109</v>
      </c>
      <c r="C15" s="23">
        <f>C12*C14</f>
        <v>1797.35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0"/>
    <col customWidth="1" min="2" max="2" width="52.0"/>
    <col customWidth="1" min="3" max="4" width="18.0"/>
    <col customWidth="1" min="5" max="5" width="44.0"/>
    <col customWidth="1" min="6" max="26" width="8.71"/>
  </cols>
  <sheetData>
    <row r="1">
      <c r="A1" s="1" t="s">
        <v>117</v>
      </c>
    </row>
    <row r="2">
      <c r="A2" s="2" t="s">
        <v>118</v>
      </c>
    </row>
    <row r="4">
      <c r="B4" s="4" t="s">
        <v>119</v>
      </c>
      <c r="C4" s="4" t="s">
        <v>120</v>
      </c>
      <c r="D4" s="4" t="s">
        <v>121</v>
      </c>
      <c r="E4" s="4" t="s">
        <v>122</v>
      </c>
    </row>
    <row r="5">
      <c r="B5" s="20" t="s">
        <v>123</v>
      </c>
      <c r="C5" s="30">
        <v>320.0</v>
      </c>
      <c r="D5" s="6">
        <v>45.0</v>
      </c>
      <c r="E5" s="18">
        <f t="shared" ref="E5:E8" si="1">C5*D5</f>
        <v>14400</v>
      </c>
    </row>
    <row r="6">
      <c r="B6" s="20" t="s">
        <v>131</v>
      </c>
      <c r="C6" s="30">
        <v>120.0</v>
      </c>
      <c r="D6" s="6">
        <v>45.0</v>
      </c>
      <c r="E6" s="18">
        <f t="shared" si="1"/>
        <v>5400</v>
      </c>
    </row>
    <row r="7">
      <c r="B7" s="20" t="s">
        <v>132</v>
      </c>
      <c r="C7" s="30">
        <v>12.0</v>
      </c>
      <c r="D7" s="6">
        <v>45.0</v>
      </c>
      <c r="E7" s="18">
        <f t="shared" si="1"/>
        <v>540</v>
      </c>
    </row>
    <row r="8">
      <c r="B8" s="20" t="s">
        <v>133</v>
      </c>
      <c r="C8" s="30">
        <v>1.0</v>
      </c>
      <c r="D8" s="6">
        <v>1800.0</v>
      </c>
      <c r="E8" s="18">
        <f t="shared" si="1"/>
        <v>1800</v>
      </c>
    </row>
    <row r="9">
      <c r="B9" s="5" t="s">
        <v>134</v>
      </c>
      <c r="E9" s="23">
        <f>SUM(E5:E8)</f>
        <v>22140</v>
      </c>
    </row>
    <row r="11">
      <c r="B11" s="4" t="s">
        <v>135</v>
      </c>
      <c r="C11" s="4" t="s">
        <v>120</v>
      </c>
      <c r="D11" s="4" t="s">
        <v>121</v>
      </c>
      <c r="E11" s="4" t="s">
        <v>122</v>
      </c>
    </row>
    <row r="12">
      <c r="B12" s="20" t="s">
        <v>136</v>
      </c>
      <c r="C12" s="30">
        <v>1.0</v>
      </c>
      <c r="D12" s="6">
        <v>60.0</v>
      </c>
      <c r="E12" s="18">
        <f t="shared" ref="E12:E14" si="2">C12*D12</f>
        <v>60</v>
      </c>
    </row>
    <row r="13">
      <c r="B13" s="20" t="s">
        <v>137</v>
      </c>
      <c r="C13" s="30">
        <v>4.0</v>
      </c>
      <c r="D13" s="6">
        <v>45.0</v>
      </c>
      <c r="E13" s="18">
        <f t="shared" si="2"/>
        <v>180</v>
      </c>
    </row>
    <row r="14">
      <c r="B14" s="20" t="s">
        <v>138</v>
      </c>
      <c r="C14" s="30">
        <v>1.0</v>
      </c>
      <c r="D14" s="6">
        <v>25.0</v>
      </c>
      <c r="E14" s="18">
        <f t="shared" si="2"/>
        <v>25</v>
      </c>
    </row>
    <row r="15">
      <c r="B15" s="5" t="s">
        <v>139</v>
      </c>
      <c r="E15" s="23">
        <f>SUM(E12:E14)</f>
        <v>265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0"/>
    <col customWidth="1" min="2" max="2" width="10.0"/>
    <col customWidth="1" min="3" max="5" width="20.0"/>
    <col customWidth="1" min="6" max="7" width="22.0"/>
    <col customWidth="1" min="8" max="26" width="8.71"/>
  </cols>
  <sheetData>
    <row r="1">
      <c r="A1" s="1" t="s">
        <v>124</v>
      </c>
    </row>
    <row r="2">
      <c r="A2" s="2" t="s">
        <v>125</v>
      </c>
    </row>
    <row r="4">
      <c r="B4" s="4" t="s">
        <v>91</v>
      </c>
      <c r="C4" s="4" t="s">
        <v>126</v>
      </c>
      <c r="D4" s="4" t="s">
        <v>127</v>
      </c>
      <c r="E4" s="4" t="s">
        <v>128</v>
      </c>
      <c r="F4" s="4" t="s">
        <v>129</v>
      </c>
      <c r="G4" s="4" t="s">
        <v>130</v>
      </c>
    </row>
    <row r="5">
      <c r="B5" s="20">
        <v>0.0</v>
      </c>
      <c r="C5" s="18">
        <f t="shared" ref="C5:D5" si="1">0</f>
        <v>0</v>
      </c>
      <c r="D5" s="18">
        <f t="shared" si="1"/>
        <v>0</v>
      </c>
      <c r="E5" s="31">
        <f>'4. Custo da Solução'!E9</f>
        <v>22140</v>
      </c>
      <c r="F5" s="18">
        <f t="shared" ref="F5:F29" si="2">C5-D5-E5</f>
        <v>-22140</v>
      </c>
      <c r="G5" s="18">
        <f>F5</f>
        <v>-22140</v>
      </c>
    </row>
    <row r="6">
      <c r="B6" s="20">
        <v>1.0</v>
      </c>
      <c r="C6" s="31">
        <f>'3. Custo do Problema'!$C$15</f>
        <v>1797.35</v>
      </c>
      <c r="D6" s="31">
        <f>'4. Custo da Solução'!$E$15</f>
        <v>265</v>
      </c>
      <c r="E6" s="18">
        <f t="shared" ref="E6:E29" si="3">0</f>
        <v>0</v>
      </c>
      <c r="F6" s="18">
        <f t="shared" si="2"/>
        <v>1532.35</v>
      </c>
      <c r="G6" s="18">
        <f t="shared" ref="G6:G29" si="4">G5+F6</f>
        <v>-20607.65</v>
      </c>
    </row>
    <row r="7">
      <c r="B7" s="20">
        <v>2.0</v>
      </c>
      <c r="C7" s="31">
        <f>'3. Custo do Problema'!$C$15</f>
        <v>1797.35</v>
      </c>
      <c r="D7" s="31">
        <f>'4. Custo da Solução'!$E$15</f>
        <v>265</v>
      </c>
      <c r="E7" s="18">
        <f t="shared" si="3"/>
        <v>0</v>
      </c>
      <c r="F7" s="18">
        <f t="shared" si="2"/>
        <v>1532.35</v>
      </c>
      <c r="G7" s="18">
        <f t="shared" si="4"/>
        <v>-19075.3</v>
      </c>
    </row>
    <row r="8">
      <c r="B8" s="20">
        <v>3.0</v>
      </c>
      <c r="C8" s="31">
        <f>'3. Custo do Problema'!$C$15</f>
        <v>1797.35</v>
      </c>
      <c r="D8" s="31">
        <f>'4. Custo da Solução'!$E$15</f>
        <v>265</v>
      </c>
      <c r="E8" s="18">
        <f t="shared" si="3"/>
        <v>0</v>
      </c>
      <c r="F8" s="18">
        <f t="shared" si="2"/>
        <v>1532.35</v>
      </c>
      <c r="G8" s="18">
        <f t="shared" si="4"/>
        <v>-17542.95</v>
      </c>
    </row>
    <row r="9">
      <c r="B9" s="20">
        <v>4.0</v>
      </c>
      <c r="C9" s="31">
        <f>'3. Custo do Problema'!$C$15</f>
        <v>1797.35</v>
      </c>
      <c r="D9" s="31">
        <f>'4. Custo da Solução'!$E$15</f>
        <v>265</v>
      </c>
      <c r="E9" s="18">
        <f t="shared" si="3"/>
        <v>0</v>
      </c>
      <c r="F9" s="18">
        <f t="shared" si="2"/>
        <v>1532.35</v>
      </c>
      <c r="G9" s="18">
        <f t="shared" si="4"/>
        <v>-16010.6</v>
      </c>
    </row>
    <row r="10">
      <c r="B10" s="20">
        <v>5.0</v>
      </c>
      <c r="C10" s="31">
        <f>'3. Custo do Problema'!$C$15</f>
        <v>1797.35</v>
      </c>
      <c r="D10" s="31">
        <f>'4. Custo da Solução'!$E$15</f>
        <v>265</v>
      </c>
      <c r="E10" s="18">
        <f t="shared" si="3"/>
        <v>0</v>
      </c>
      <c r="F10" s="18">
        <f t="shared" si="2"/>
        <v>1532.35</v>
      </c>
      <c r="G10" s="18">
        <f t="shared" si="4"/>
        <v>-14478.25</v>
      </c>
    </row>
    <row r="11">
      <c r="B11" s="20">
        <v>6.0</v>
      </c>
      <c r="C11" s="31">
        <f>'3. Custo do Problema'!$C$15</f>
        <v>1797.35</v>
      </c>
      <c r="D11" s="31">
        <f>'4. Custo da Solução'!$E$15</f>
        <v>265</v>
      </c>
      <c r="E11" s="18">
        <f t="shared" si="3"/>
        <v>0</v>
      </c>
      <c r="F11" s="18">
        <f t="shared" si="2"/>
        <v>1532.35</v>
      </c>
      <c r="G11" s="18">
        <f t="shared" si="4"/>
        <v>-12945.9</v>
      </c>
    </row>
    <row r="12">
      <c r="B12" s="20">
        <v>7.0</v>
      </c>
      <c r="C12" s="31">
        <f>'3. Custo do Problema'!$C$15</f>
        <v>1797.35</v>
      </c>
      <c r="D12" s="31">
        <f>'4. Custo da Solução'!$E$15</f>
        <v>265</v>
      </c>
      <c r="E12" s="18">
        <f t="shared" si="3"/>
        <v>0</v>
      </c>
      <c r="F12" s="18">
        <f t="shared" si="2"/>
        <v>1532.35</v>
      </c>
      <c r="G12" s="18">
        <f t="shared" si="4"/>
        <v>-11413.55</v>
      </c>
    </row>
    <row r="13">
      <c r="B13" s="20">
        <v>8.0</v>
      </c>
      <c r="C13" s="31">
        <f>'3. Custo do Problema'!$C$15</f>
        <v>1797.35</v>
      </c>
      <c r="D13" s="31">
        <f>'4. Custo da Solução'!$E$15</f>
        <v>265</v>
      </c>
      <c r="E13" s="18">
        <f t="shared" si="3"/>
        <v>0</v>
      </c>
      <c r="F13" s="18">
        <f t="shared" si="2"/>
        <v>1532.35</v>
      </c>
      <c r="G13" s="18">
        <f t="shared" si="4"/>
        <v>-9881.2</v>
      </c>
    </row>
    <row r="14">
      <c r="B14" s="20">
        <v>9.0</v>
      </c>
      <c r="C14" s="31">
        <f>'3. Custo do Problema'!$C$15</f>
        <v>1797.35</v>
      </c>
      <c r="D14" s="31">
        <f>'4. Custo da Solução'!$E$15</f>
        <v>265</v>
      </c>
      <c r="E14" s="18">
        <f t="shared" si="3"/>
        <v>0</v>
      </c>
      <c r="F14" s="18">
        <f t="shared" si="2"/>
        <v>1532.35</v>
      </c>
      <c r="G14" s="18">
        <f t="shared" si="4"/>
        <v>-8348.85</v>
      </c>
    </row>
    <row r="15">
      <c r="B15" s="20">
        <v>10.0</v>
      </c>
      <c r="C15" s="31">
        <f>'3. Custo do Problema'!$C$15</f>
        <v>1797.35</v>
      </c>
      <c r="D15" s="31">
        <f>'4. Custo da Solução'!$E$15</f>
        <v>265</v>
      </c>
      <c r="E15" s="18">
        <f t="shared" si="3"/>
        <v>0</v>
      </c>
      <c r="F15" s="18">
        <f t="shared" si="2"/>
        <v>1532.35</v>
      </c>
      <c r="G15" s="18">
        <f t="shared" si="4"/>
        <v>-6816.5</v>
      </c>
    </row>
    <row r="16">
      <c r="B16" s="20">
        <v>11.0</v>
      </c>
      <c r="C16" s="31">
        <f>'3. Custo do Problema'!$C$15</f>
        <v>1797.35</v>
      </c>
      <c r="D16" s="31">
        <f>'4. Custo da Solução'!$E$15</f>
        <v>265</v>
      </c>
      <c r="E16" s="18">
        <f t="shared" si="3"/>
        <v>0</v>
      </c>
      <c r="F16" s="18">
        <f t="shared" si="2"/>
        <v>1532.35</v>
      </c>
      <c r="G16" s="18">
        <f t="shared" si="4"/>
        <v>-5284.15</v>
      </c>
    </row>
    <row r="17">
      <c r="B17" s="20">
        <v>12.0</v>
      </c>
      <c r="C17" s="31">
        <f>'3. Custo do Problema'!$C$15</f>
        <v>1797.35</v>
      </c>
      <c r="D17" s="31">
        <f>'4. Custo da Solução'!$E$15</f>
        <v>265</v>
      </c>
      <c r="E17" s="18">
        <f t="shared" si="3"/>
        <v>0</v>
      </c>
      <c r="F17" s="18">
        <f t="shared" si="2"/>
        <v>1532.35</v>
      </c>
      <c r="G17" s="18">
        <f t="shared" si="4"/>
        <v>-3751.8</v>
      </c>
    </row>
    <row r="18">
      <c r="B18" s="20">
        <v>13.0</v>
      </c>
      <c r="C18" s="31">
        <f>'3. Custo do Problema'!$C$15</f>
        <v>1797.35</v>
      </c>
      <c r="D18" s="31">
        <f>'4. Custo da Solução'!$E$15</f>
        <v>265</v>
      </c>
      <c r="E18" s="18">
        <f t="shared" si="3"/>
        <v>0</v>
      </c>
      <c r="F18" s="18">
        <f t="shared" si="2"/>
        <v>1532.35</v>
      </c>
      <c r="G18" s="18">
        <f t="shared" si="4"/>
        <v>-2219.45</v>
      </c>
    </row>
    <row r="19">
      <c r="B19" s="20">
        <v>14.0</v>
      </c>
      <c r="C19" s="31">
        <f>'3. Custo do Problema'!$C$15</f>
        <v>1797.35</v>
      </c>
      <c r="D19" s="31">
        <f>'4. Custo da Solução'!$E$15</f>
        <v>265</v>
      </c>
      <c r="E19" s="18">
        <f t="shared" si="3"/>
        <v>0</v>
      </c>
      <c r="F19" s="18">
        <f t="shared" si="2"/>
        <v>1532.35</v>
      </c>
      <c r="G19" s="18">
        <f t="shared" si="4"/>
        <v>-687.1</v>
      </c>
    </row>
    <row r="20">
      <c r="B20" s="20">
        <v>15.0</v>
      </c>
      <c r="C20" s="31">
        <f>'3. Custo do Problema'!$C$15</f>
        <v>1797.35</v>
      </c>
      <c r="D20" s="31">
        <f>'4. Custo da Solução'!$E$15</f>
        <v>265</v>
      </c>
      <c r="E20" s="18">
        <f t="shared" si="3"/>
        <v>0</v>
      </c>
      <c r="F20" s="18">
        <f t="shared" si="2"/>
        <v>1532.35</v>
      </c>
      <c r="G20" s="18">
        <f t="shared" si="4"/>
        <v>845.25</v>
      </c>
    </row>
    <row r="21" ht="15.75" customHeight="1">
      <c r="B21" s="20">
        <v>16.0</v>
      </c>
      <c r="C21" s="31">
        <f>'3. Custo do Problema'!$C$15</f>
        <v>1797.35</v>
      </c>
      <c r="D21" s="31">
        <f>'4. Custo da Solução'!$E$15</f>
        <v>265</v>
      </c>
      <c r="E21" s="18">
        <f t="shared" si="3"/>
        <v>0</v>
      </c>
      <c r="F21" s="18">
        <f t="shared" si="2"/>
        <v>1532.35</v>
      </c>
      <c r="G21" s="18">
        <f t="shared" si="4"/>
        <v>2377.6</v>
      </c>
    </row>
    <row r="22" ht="15.75" customHeight="1">
      <c r="B22" s="20">
        <v>17.0</v>
      </c>
      <c r="C22" s="31">
        <f>'3. Custo do Problema'!$C$15</f>
        <v>1797.35</v>
      </c>
      <c r="D22" s="31">
        <f>'4. Custo da Solução'!$E$15</f>
        <v>265</v>
      </c>
      <c r="E22" s="18">
        <f t="shared" si="3"/>
        <v>0</v>
      </c>
      <c r="F22" s="18">
        <f t="shared" si="2"/>
        <v>1532.35</v>
      </c>
      <c r="G22" s="18">
        <f t="shared" si="4"/>
        <v>3909.95</v>
      </c>
    </row>
    <row r="23" ht="15.75" customHeight="1">
      <c r="B23" s="20">
        <v>18.0</v>
      </c>
      <c r="C23" s="31">
        <f>'3. Custo do Problema'!$C$15</f>
        <v>1797.35</v>
      </c>
      <c r="D23" s="31">
        <f>'4. Custo da Solução'!$E$15</f>
        <v>265</v>
      </c>
      <c r="E23" s="18">
        <f t="shared" si="3"/>
        <v>0</v>
      </c>
      <c r="F23" s="18">
        <f t="shared" si="2"/>
        <v>1532.35</v>
      </c>
      <c r="G23" s="18">
        <f t="shared" si="4"/>
        <v>5442.3</v>
      </c>
    </row>
    <row r="24" ht="15.75" customHeight="1">
      <c r="B24" s="20">
        <v>19.0</v>
      </c>
      <c r="C24" s="31">
        <f>'3. Custo do Problema'!$C$15</f>
        <v>1797.35</v>
      </c>
      <c r="D24" s="31">
        <f>'4. Custo da Solução'!$E$15</f>
        <v>265</v>
      </c>
      <c r="E24" s="18">
        <f t="shared" si="3"/>
        <v>0</v>
      </c>
      <c r="F24" s="18">
        <f t="shared" si="2"/>
        <v>1532.35</v>
      </c>
      <c r="G24" s="18">
        <f t="shared" si="4"/>
        <v>6974.65</v>
      </c>
    </row>
    <row r="25" ht="15.75" customHeight="1">
      <c r="B25" s="20">
        <v>20.0</v>
      </c>
      <c r="C25" s="31">
        <f>'3. Custo do Problema'!$C$15</f>
        <v>1797.35</v>
      </c>
      <c r="D25" s="31">
        <f>'4. Custo da Solução'!$E$15</f>
        <v>265</v>
      </c>
      <c r="E25" s="18">
        <f t="shared" si="3"/>
        <v>0</v>
      </c>
      <c r="F25" s="18">
        <f t="shared" si="2"/>
        <v>1532.35</v>
      </c>
      <c r="G25" s="18">
        <f t="shared" si="4"/>
        <v>8507</v>
      </c>
    </row>
    <row r="26" ht="15.75" customHeight="1">
      <c r="B26" s="20">
        <v>21.0</v>
      </c>
      <c r="C26" s="31">
        <f>'3. Custo do Problema'!$C$15</f>
        <v>1797.35</v>
      </c>
      <c r="D26" s="31">
        <f>'4. Custo da Solução'!$E$15</f>
        <v>265</v>
      </c>
      <c r="E26" s="18">
        <f t="shared" si="3"/>
        <v>0</v>
      </c>
      <c r="F26" s="18">
        <f t="shared" si="2"/>
        <v>1532.35</v>
      </c>
      <c r="G26" s="18">
        <f t="shared" si="4"/>
        <v>10039.35</v>
      </c>
    </row>
    <row r="27" ht="15.75" customHeight="1">
      <c r="B27" s="20">
        <v>22.0</v>
      </c>
      <c r="C27" s="31">
        <f>'3. Custo do Problema'!$C$15</f>
        <v>1797.35</v>
      </c>
      <c r="D27" s="31">
        <f>'4. Custo da Solução'!$E$15</f>
        <v>265</v>
      </c>
      <c r="E27" s="18">
        <f t="shared" si="3"/>
        <v>0</v>
      </c>
      <c r="F27" s="18">
        <f t="shared" si="2"/>
        <v>1532.35</v>
      </c>
      <c r="G27" s="18">
        <f t="shared" si="4"/>
        <v>11571.7</v>
      </c>
    </row>
    <row r="28" ht="15.75" customHeight="1">
      <c r="B28" s="20">
        <v>23.0</v>
      </c>
      <c r="C28" s="31">
        <f>'3. Custo do Problema'!$C$15</f>
        <v>1797.35</v>
      </c>
      <c r="D28" s="31">
        <f>'4. Custo da Solução'!$E$15</f>
        <v>265</v>
      </c>
      <c r="E28" s="18">
        <f t="shared" si="3"/>
        <v>0</v>
      </c>
      <c r="F28" s="18">
        <f t="shared" si="2"/>
        <v>1532.35</v>
      </c>
      <c r="G28" s="18">
        <f t="shared" si="4"/>
        <v>13104.05</v>
      </c>
    </row>
    <row r="29" ht="15.75" customHeight="1">
      <c r="B29" s="20">
        <v>24.0</v>
      </c>
      <c r="C29" s="31">
        <f>'3. Custo do Problema'!$C$15</f>
        <v>1797.35</v>
      </c>
      <c r="D29" s="31">
        <f>'4. Custo da Solução'!$E$15</f>
        <v>265</v>
      </c>
      <c r="E29" s="18">
        <f t="shared" si="3"/>
        <v>0</v>
      </c>
      <c r="F29" s="18">
        <f t="shared" si="2"/>
        <v>1532.35</v>
      </c>
      <c r="G29" s="18">
        <f t="shared" si="4"/>
        <v>14636.4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0"/>
    <col customWidth="1" min="2" max="2" width="46.0"/>
    <col customWidth="1" min="3" max="3" width="22.0"/>
    <col customWidth="1" min="4" max="4" width="60.0"/>
    <col customWidth="1" min="5" max="26" width="8.71"/>
  </cols>
  <sheetData>
    <row r="1">
      <c r="A1" s="1" t="s">
        <v>140</v>
      </c>
    </row>
    <row r="2">
      <c r="A2" s="2" t="s">
        <v>141</v>
      </c>
    </row>
    <row r="4">
      <c r="B4" s="3" t="s">
        <v>142</v>
      </c>
      <c r="C4" s="25">
        <v>0.008</v>
      </c>
      <c r="D4" s="9" t="s">
        <v>143</v>
      </c>
    </row>
    <row r="6">
      <c r="B6" s="3" t="s">
        <v>144</v>
      </c>
      <c r="C6" s="18">
        <f t="array" ref="C6">NPV(C4,'5. Fluxo de Caixa'!F6:F29)+'5. Fluxo de Caixa'!F5</f>
        <v>11200.56775</v>
      </c>
      <c r="D6" s="9" t="s">
        <v>145</v>
      </c>
    </row>
    <row r="7">
      <c r="B7" s="3" t="s">
        <v>146</v>
      </c>
      <c r="C7" s="32">
        <f>IFERROR(IRR('5. Fluxo de Caixa'!F5:F29),"não aplicável")</f>
        <v>0.04532625715</v>
      </c>
      <c r="D7" s="9" t="s">
        <v>147</v>
      </c>
    </row>
    <row r="8">
      <c r="B8" s="3" t="s">
        <v>148</v>
      </c>
      <c r="C8" s="27">
        <f t="array" ref="C8">IFERROR(MATCH(TRUE,INDEX('5. Fluxo de Caixa'!G5:G29&gt;0,0),0)-1,"não retorna em 24 meses")</f>
        <v>15</v>
      </c>
      <c r="D8" s="9" t="s">
        <v>149</v>
      </c>
    </row>
    <row r="9">
      <c r="B9" s="3" t="s">
        <v>150</v>
      </c>
      <c r="C9" s="31">
        <f>'5. Fluxo de Caixa'!G29</f>
        <v>14636.4</v>
      </c>
      <c r="D9" s="9" t="s">
        <v>151</v>
      </c>
    </row>
    <row r="11">
      <c r="B11" s="5" t="s">
        <v>152</v>
      </c>
    </row>
    <row r="12">
      <c r="B12" s="9" t="s">
        <v>153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2026-08-17T22:41:21Z</dcterms:created>
  <dc:creator>openpyxl</dc:creator>
</cp:coreProperties>
</file>